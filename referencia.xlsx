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2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https://d.docs.live.net/6BD1949119AD3066/Documentos/"/>
    </mc:Choice>
  </mc:AlternateContent>
  <xr:revisionPtr revIDLastSave="20" documentId="8_{0A4FCCDE-F854-4996-86B2-18248B24191D}" xr6:coauthVersionLast="47" xr6:coauthVersionMax="47" xr10:uidLastSave="{A8A48C7C-5BD3-374A-A1A3-0AB917B9719B}"/>
  <bookViews>
    <workbookView xWindow="-120" yWindow="-120" windowWidth="38640" windowHeight="21240" activeTab="6" xr2:uid="{00000000-000D-0000-FFFF-FFFF00000000}"/>
  </bookViews>
  <sheets>
    <sheet name="Entradas" sheetId="1" r:id="rId1"/>
    <sheet name="Simulador" sheetId="2" r:id="rId2"/>
    <sheet name="Escalões_IRS_2026" sheetId="3" state="hidden" r:id="rId3"/>
    <sheet name="Parâmetros" sheetId="4" state="hidden" r:id="rId4"/>
    <sheet name="Comparador Contrato" sheetId="5" r:id="rId5"/>
    <sheet name="Fontes_e_Notas" sheetId="6" state="hidden" r:id="rId6"/>
    <sheet name="Freelancer_vs_Contrato" sheetId="7" r:id="rId7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9" i="7" l="1"/>
  <c r="B39" i="7"/>
  <c r="C38" i="7"/>
  <c r="B38" i="7"/>
  <c r="B37" i="7"/>
  <c r="F37" i="7"/>
  <c r="E37" i="7"/>
  <c r="C37" i="7"/>
  <c r="C36" i="7"/>
  <c r="B36" i="7"/>
  <c r="C35" i="7"/>
  <c r="B35" i="7"/>
  <c r="C34" i="7"/>
  <c r="C33" i="7"/>
  <c r="C32" i="7"/>
  <c r="B32" i="7"/>
  <c r="B18" i="7"/>
  <c r="D9" i="5"/>
  <c r="D8" i="5"/>
  <c r="D7" i="5"/>
  <c r="D6" i="5"/>
  <c r="F5" i="5"/>
  <c r="E5" i="5"/>
  <c r="D5" i="5"/>
  <c r="D4" i="5"/>
  <c r="E12" i="3"/>
  <c r="E11" i="3"/>
  <c r="E10" i="3"/>
  <c r="E9" i="3"/>
  <c r="E8" i="3"/>
  <c r="E7" i="3"/>
  <c r="E6" i="3"/>
  <c r="E5" i="3"/>
  <c r="E4" i="3"/>
  <c r="B15" i="2"/>
  <c r="B12" i="2"/>
  <c r="B6" i="2"/>
  <c r="B5" i="2"/>
  <c r="B4" i="2"/>
  <c r="D32" i="7"/>
  <c r="F32" i="7"/>
  <c r="E32" i="7"/>
  <c r="F39" i="7"/>
  <c r="E39" i="7"/>
  <c r="D39" i="7"/>
  <c r="F38" i="7"/>
  <c r="E38" i="7"/>
  <c r="D38" i="7"/>
  <c r="D37" i="7"/>
  <c r="G37" i="7"/>
  <c r="F36" i="7"/>
  <c r="E36" i="7"/>
  <c r="D36" i="7"/>
  <c r="F35" i="7"/>
  <c r="E35" i="7"/>
  <c r="D35" i="7"/>
  <c r="B22" i="7"/>
  <c r="B23" i="7"/>
  <c r="G6" i="7"/>
  <c r="B20" i="7"/>
  <c r="B21" i="7"/>
  <c r="B19" i="7"/>
  <c r="F34" i="7"/>
  <c r="E34" i="7"/>
  <c r="D34" i="7"/>
  <c r="F33" i="7"/>
  <c r="E33" i="7"/>
  <c r="D33" i="7"/>
  <c r="B24" i="7"/>
  <c r="G4" i="7"/>
  <c r="F4" i="7"/>
  <c r="E9" i="5"/>
  <c r="E8" i="5"/>
  <c r="F7" i="5"/>
  <c r="E7" i="5"/>
  <c r="F6" i="5"/>
  <c r="E6" i="5"/>
  <c r="G5" i="5"/>
  <c r="H5" i="5"/>
  <c r="F4" i="5"/>
  <c r="E4" i="5"/>
  <c r="B9" i="2"/>
  <c r="B7" i="2"/>
  <c r="F4" i="2"/>
  <c r="G32" i="7"/>
  <c r="G34" i="7"/>
  <c r="G5" i="7"/>
  <c r="B28" i="7"/>
  <c r="G9" i="7"/>
  <c r="B10" i="2"/>
  <c r="F5" i="7"/>
  <c r="F5" i="2"/>
  <c r="G38" i="7"/>
  <c r="G36" i="7"/>
  <c r="G35" i="7"/>
  <c r="B26" i="7"/>
  <c r="B25" i="7"/>
  <c r="H4" i="7"/>
  <c r="B8" i="2"/>
  <c r="G6" i="5"/>
  <c r="H6" i="5"/>
  <c r="G4" i="5"/>
  <c r="H4" i="5"/>
  <c r="F9" i="5"/>
  <c r="G33" i="7"/>
  <c r="F8" i="5"/>
  <c r="G7" i="5"/>
  <c r="H7" i="5"/>
  <c r="G39" i="7"/>
  <c r="G7" i="7"/>
  <c r="B27" i="7"/>
  <c r="G8" i="7"/>
  <c r="H5" i="7"/>
  <c r="G9" i="5"/>
  <c r="H9" i="5"/>
  <c r="B11" i="2"/>
  <c r="B13" i="2"/>
  <c r="B14" i="2"/>
  <c r="B16" i="2"/>
  <c r="G8" i="5"/>
  <c r="H8" i="5"/>
  <c r="B19" i="2"/>
  <c r="F6" i="2"/>
  <c r="F6" i="7"/>
  <c r="H6" i="7"/>
  <c r="B17" i="2"/>
  <c r="F9" i="2"/>
  <c r="F9" i="7"/>
  <c r="H9" i="7"/>
  <c r="H39" i="7"/>
  <c r="H35" i="7"/>
  <c r="H36" i="7"/>
  <c r="H38" i="7"/>
  <c r="B18" i="2"/>
  <c r="F7" i="7"/>
  <c r="H7" i="7"/>
  <c r="F7" i="2"/>
  <c r="H37" i="7"/>
  <c r="H34" i="7"/>
  <c r="H32" i="7"/>
  <c r="H33" i="7"/>
  <c r="F8" i="7"/>
  <c r="H8" i="7"/>
  <c r="F8" i="2"/>
</calcChain>
</file>

<file path=xl/sharedStrings.xml><?xml version="1.0" encoding="utf-8"?>
<sst xmlns="http://schemas.openxmlformats.org/spreadsheetml/2006/main" count="245" uniqueCount="216">
  <si>
    <t>Simulador de Salário Líquido Anual em Portugal</t>
  </si>
  <si>
    <t>Campo</t>
  </si>
  <si>
    <t>Valor</t>
  </si>
  <si>
    <t>Salário bruto mensal (€)</t>
  </si>
  <si>
    <t>Número de salários</t>
  </si>
  <si>
    <t>Estado civil</t>
  </si>
  <si>
    <t>N.º dependentes</t>
  </si>
  <si>
    <t>Região fiscal</t>
  </si>
  <si>
    <t>Continente</t>
  </si>
  <si>
    <t>Subsídio alimentação mensal (€)</t>
  </si>
  <si>
    <t>Meses de subsídio alimentação</t>
  </si>
  <si>
    <t>Subsídio alimentação isento mensal (€)</t>
  </si>
  <si>
    <t>IRS Jovem</t>
  </si>
  <si>
    <t>Não</t>
  </si>
  <si>
    <t>Idade</t>
  </si>
  <si>
    <t>Ano IRS Jovem</t>
  </si>
  <si>
    <t>Observação</t>
  </si>
  <si>
    <t>Este ficheiro faz uma estimativa anual com base nos escalões de IRS 2026 e Segurança Social do trabalhador.</t>
  </si>
  <si>
    <t>A retenção mensal na fonte pode diferir do IRS final anual.</t>
  </si>
  <si>
    <t>Para decisão final, validar com contabilista/AT, sobretudo em casos com deduções, regimes especiais ou rendimentos adicionais.</t>
  </si>
  <si>
    <t>Regiões Autónomas, deficiência fiscal, pensões, recibos verdes e regimes especiais não estão totalmente modelados.</t>
  </si>
  <si>
    <t>Atualize a aba Parâmetros/Escalões quando houver nova legislação.</t>
  </si>
  <si>
    <t>Freelancer_vs_Contrato</t>
  </si>
  <si>
    <t>Objetivo</t>
  </si>
  <si>
    <t>Comparar salário líquido anual por contrato com taxa dia de freelancer</t>
  </si>
  <si>
    <t>Simulador - Salário Líquido Anual</t>
  </si>
  <si>
    <t>Indicador</t>
  </si>
  <si>
    <t>Fórmula/Valor</t>
  </si>
  <si>
    <t>Nota</t>
  </si>
  <si>
    <t>Resumo rápido</t>
  </si>
  <si>
    <t>Salário bruto anual</t>
  </si>
  <si>
    <t>Salário bruto mensal × nº salários</t>
  </si>
  <si>
    <t>Bruto anual</t>
  </si>
  <si>
    <t>Subsídio alimentação anual</t>
  </si>
  <si>
    <t>Valor mensal × meses</t>
  </si>
  <si>
    <t>SS anual</t>
  </si>
  <si>
    <t>Parte isenta subsídio alimentação</t>
  </si>
  <si>
    <t>Até ao limite mensal indicado</t>
  </si>
  <si>
    <t>IRS anual</t>
  </si>
  <si>
    <t>Parte tributável subsídio alimentação</t>
  </si>
  <si>
    <t>Excesso integrado na base</t>
  </si>
  <si>
    <t>Líquido anual</t>
  </si>
  <si>
    <t>Rendimento bruto tributável</t>
  </si>
  <si>
    <t>Salário + subsídio alimentação tributável + outros rendimentos</t>
  </si>
  <si>
    <t>Líquido médio/mês</t>
  </si>
  <si>
    <t>Segurança Social anual</t>
  </si>
  <si>
    <t>11% sobre salário bruto</t>
  </si>
  <si>
    <t>Taxa efetiva</t>
  </si>
  <si>
    <t>Dedução específica considerada</t>
  </si>
  <si>
    <t>Maior entre dedução específica e SS anual</t>
  </si>
  <si>
    <t>Rendimento coletável antes IRS Jovem</t>
  </si>
  <si>
    <t>Base para aplicar escalões</t>
  </si>
  <si>
    <t>Isenção IRS Jovem estimada</t>
  </si>
  <si>
    <t>Parametrizada e opcional</t>
  </si>
  <si>
    <t>Rendimento coletável para IRS</t>
  </si>
  <si>
    <t>Após eventual isenção</t>
  </si>
  <si>
    <t>IRS anual bruto estimado</t>
  </si>
  <si>
    <t>Cálculo progressivo</t>
  </si>
  <si>
    <t>Deduções à coleta</t>
  </si>
  <si>
    <t>Campos livres em Parâmetros</t>
  </si>
  <si>
    <t>IRS anual líquido estimado</t>
  </si>
  <si>
    <t>Mínimo zero</t>
  </si>
  <si>
    <t>Salário líquido anual estimado</t>
  </si>
  <si>
    <t>Bruto + subsídio alimentação - SS - IRS</t>
  </si>
  <si>
    <t>Líquido mensal médio em 14 salários</t>
  </si>
  <si>
    <t>Líquido anual / nº salários</t>
  </si>
  <si>
    <t>Taxa efetiva descontos</t>
  </si>
  <si>
    <t>(SS + IRS) / total recebido</t>
  </si>
  <si>
    <t>Escalões de IRS 2026 - Continente (estimativo)</t>
  </si>
  <si>
    <t>Escalão</t>
  </si>
  <si>
    <t>Limite inferior (€)</t>
  </si>
  <si>
    <t>Limite superior (€)</t>
  </si>
  <si>
    <t>Taxa marginal</t>
  </si>
  <si>
    <t>Imposto máximo no escalão</t>
  </si>
  <si>
    <t>Parâmetros do Modelo</t>
  </si>
  <si>
    <t>Parâmetro</t>
  </si>
  <si>
    <t>IRS Jovem - ano</t>
  </si>
  <si>
    <t>% isenção</t>
  </si>
  <si>
    <t>Limite anual (€)</t>
  </si>
  <si>
    <t>Segurança Social trabalhador</t>
  </si>
  <si>
    <t>Regime geral por conta de outrem</t>
  </si>
  <si>
    <t>Parametrizável</t>
  </si>
  <si>
    <t>Dedução específica Categoria A</t>
  </si>
  <si>
    <t>Usada se superior à contribuição SS anual</t>
  </si>
  <si>
    <t>Limite subsídio refeição cartão/dia</t>
  </si>
  <si>
    <t>Estimativa: 22 dias úteis/mês</t>
  </si>
  <si>
    <t>Dias úteis médios/mês</t>
  </si>
  <si>
    <t>Para cálculo do limite isento mensal</t>
  </si>
  <si>
    <t>Taxa autónoma excesso subsídio refeição</t>
  </si>
  <si>
    <t>Modelo trata excesso como rendimento tributável</t>
  </si>
  <si>
    <t>Deduções à coleta pessoais</t>
  </si>
  <si>
    <t>Campo livre para o utilizador</t>
  </si>
  <si>
    <t>Sem aplicação</t>
  </si>
  <si>
    <t>Outras deduções à coleta</t>
  </si>
  <si>
    <t>Outros rendimentos tributáveis anuais</t>
  </si>
  <si>
    <t>Ano fiscal</t>
  </si>
  <si>
    <t>Comparador de Cenários</t>
  </si>
  <si>
    <t>Cenário</t>
  </si>
  <si>
    <t>Bruto mensal</t>
  </si>
  <si>
    <t>N.º salários</t>
  </si>
  <si>
    <t>IRS estimado</t>
  </si>
  <si>
    <t>Cenário 1</t>
  </si>
  <si>
    <t>Cenário 2</t>
  </si>
  <si>
    <t>Cenário 3</t>
  </si>
  <si>
    <t>Cenário 4</t>
  </si>
  <si>
    <t>Cenário 5</t>
  </si>
  <si>
    <t>Cenário 6</t>
  </si>
  <si>
    <t>Fontes e Notas</t>
  </si>
  <si>
    <t>Tema</t>
  </si>
  <si>
    <t>Fonte</t>
  </si>
  <si>
    <t>URL</t>
  </si>
  <si>
    <t>Retenção na fonte IRS 2026</t>
  </si>
  <si>
    <t>Diário da República - Despacho n.º 233-A/2026</t>
  </si>
  <si>
    <t>https://diariodarepublica.pt/dr/detalhe/despacho/233-a-2026-998488151</t>
  </si>
  <si>
    <t>Tabelas de retenção para rendimentos do trabalho dependente e pensões no Continente.</t>
  </si>
  <si>
    <t>Tabelas de retenção IRS</t>
  </si>
  <si>
    <t>Portal das Finanças</t>
  </si>
  <si>
    <t>https://info.portaldasfinancas.gov.pt/pt/apoio_contribuinte/tabela_ret_doclib/Pages/default.aspx</t>
  </si>
  <si>
    <t>Consultar ficheiros oficiais de retenção atualizados.</t>
  </si>
  <si>
    <t>Escalões IRS 2026</t>
  </si>
  <si>
    <t>Santander - Salto</t>
  </si>
  <si>
    <t>https://www.santander.pt/salto/escaloes-irs</t>
  </si>
  <si>
    <t>Usado como referência pública para escalões no modelo.</t>
  </si>
  <si>
    <t>Segurança Social</t>
  </si>
  <si>
    <t>Doutor Finanças</t>
  </si>
  <si>
    <t>https://www.doutorfinancas.pt/carreira-e-rendimentos/rendimentos/ja-foram-publicadas-as-tabelas-de-retencao-na-fonte-para-2026-saiba-quanto-vai-descontar/</t>
  </si>
  <si>
    <t>Refere desconto de 11% para Segurança Social.</t>
  </si>
  <si>
    <t>Aviso</t>
  </si>
  <si>
    <t>Modelo estimativo</t>
  </si>
  <si>
    <t>O ficheiro não substitui simulação oficial de IRS nem aconselhamento fiscal.</t>
  </si>
  <si>
    <t>Atualização</t>
  </si>
  <si>
    <t>Felipe Manso</t>
  </si>
  <si>
    <t>Gerado em 2026-06-17.</t>
  </si>
  <si>
    <t>Freelancer - Segurança Social TI</t>
  </si>
  <si>
    <t>https://www.seg-social.pt/ptss/pssd/documento/cmc1xyfxz00dekl2ynxz676sw</t>
  </si>
  <si>
    <t>Rendimento relevante para prestação de serviços e contribuição TI</t>
  </si>
  <si>
    <t>Incluído no comparador freelancer</t>
  </si>
  <si>
    <t>Freelancer - IRS Cat. B Regime Simplificado</t>
  </si>
  <si>
    <t>https://info.portaldasfinancas.gov.pt/pt/informacao_fiscal/codigos_tributarios/cirs_rep/Pages/irs31.aspx</t>
  </si>
  <si>
    <t>Coeficientes do regime simplificado</t>
  </si>
  <si>
    <t>Freelancer - IVA Art. 53</t>
  </si>
  <si>
    <t>https://info.portaldasfinancas.gov.pt/pt/informacao_fiscal/codigos_tributarios/civa_rep/Pages/artigo-53-o-do-civa.aspx</t>
  </si>
  <si>
    <t>Isenção de IVA no regime especial</t>
  </si>
  <si>
    <t>Freelancer - Dispensa de retenção</t>
  </si>
  <si>
    <t>https://info.portaldasfinancas.gov.pt/pt/informacao_fiscal/codigos_tributarios/cirs_rep/Pages/irs101b.aspx</t>
  </si>
  <si>
    <t>Dispensa de retenção em certos casos</t>
  </si>
  <si>
    <t>Incluído como parâmetro manual</t>
  </si>
  <si>
    <t>Nota de uso</t>
  </si>
  <si>
    <t>Validar com contabilista/AT</t>
  </si>
  <si>
    <t>O cálculo não substitui simulação oficial nem aconselhamento fiscal.</t>
  </si>
  <si>
    <t>Modelo parametrizável</t>
  </si>
  <si>
    <t>Comparador Freelancer vs Contrato - Portugal</t>
  </si>
  <si>
    <t>Parâmetros Freelancer</t>
  </si>
  <si>
    <t>Comparação</t>
  </si>
  <si>
    <t>Contrato</t>
  </si>
  <si>
    <t>Freelancer</t>
  </si>
  <si>
    <t>Diferença</t>
  </si>
  <si>
    <t>Taxa dia freelancer (€)</t>
  </si>
  <si>
    <t>Valor diário sem IVA, salvo se indicar IVA incluído</t>
  </si>
  <si>
    <t>Bruto anual / Receita sem IVA</t>
  </si>
  <si>
    <t>Dias faturáveis por mês</t>
  </si>
  <si>
    <t>Dias médios efetivamente faturados</t>
  </si>
  <si>
    <t>Meses faturáveis por ano</t>
  </si>
  <si>
    <t>Permite considerar férias/sem projeto</t>
  </si>
  <si>
    <t>IRS anual estimado</t>
  </si>
  <si>
    <t>Coeficiente IRS Cat. B</t>
  </si>
  <si>
    <t>Regime simplificado: serviços normalmente 75% tributável</t>
  </si>
  <si>
    <t>Rendimento relevante Segurança Social</t>
  </si>
  <si>
    <t>Prestação de serviços: 70% da receita</t>
  </si>
  <si>
    <t>Líquido médio mensal</t>
  </si>
  <si>
    <t>Taxa Segurança Social TI</t>
  </si>
  <si>
    <t>Taxa contributiva dos trabalhadores independentes</t>
  </si>
  <si>
    <t>Retenção IRS freelancer</t>
  </si>
  <si>
    <t>Retenção na fonte, não é imposto final</t>
  </si>
  <si>
    <t>IVA</t>
  </si>
  <si>
    <t>IVA normal, quando aplicável</t>
  </si>
  <si>
    <t>IVA incluído na taxa dia?</t>
  </si>
  <si>
    <t>Sim retira IVA da taxa; Não soma IVA à fatura</t>
  </si>
  <si>
    <t>Isento IVA Art. 53?</t>
  </si>
  <si>
    <t>Sim quando aplicável; limite legal depende do enquadramento</t>
  </si>
  <si>
    <t>Isenção SS no primeiro ano?</t>
  </si>
  <si>
    <t>Sim zera a estimativa de Segurança Social</t>
  </si>
  <si>
    <t>Despesas/ajustes fiscais anuais (€)</t>
  </si>
  <si>
    <t>Campo manual para ajustes/deduções fiscais</t>
  </si>
  <si>
    <t>Cálculo Freelancer</t>
  </si>
  <si>
    <t>Receita anual sem IVA</t>
  </si>
  <si>
    <t>Taxa dia × dias × meses; se IVA incluído, retira IVA</t>
  </si>
  <si>
    <t>Faturação anual com IVA</t>
  </si>
  <si>
    <t>Valor cobrado ao cliente incluindo IVA quando aplicável</t>
  </si>
  <si>
    <t>Rendimento relevante SS</t>
  </si>
  <si>
    <t>Receita sem IVA × percentual relevante</t>
  </si>
  <si>
    <t>Segurança Social anual TI</t>
  </si>
  <si>
    <t>Rendimento relevante × taxa SS, salvo isenção</t>
  </si>
  <si>
    <t>Rendimento coletável Cat. B</t>
  </si>
  <si>
    <t>Receita × coeficiente - ajustes manuais</t>
  </si>
  <si>
    <t>Aplicação progressiva dos escalões IRS existentes no ficheiro</t>
  </si>
  <si>
    <t>Retenção IRS anual</t>
  </si>
  <si>
    <t>Adiantamento ao Estado, não imposto final</t>
  </si>
  <si>
    <t>Acerto IRS final estimado</t>
  </si>
  <si>
    <t>IRS final - retenção já efetuada</t>
  </si>
  <si>
    <t>Líquido anual freelancer</t>
  </si>
  <si>
    <t>Receita sem IVA - SS - IRS final</t>
  </si>
  <si>
    <t>Líquido médio mensal freelancer</t>
  </si>
  <si>
    <t>Líquido anual / meses faturáveis</t>
  </si>
  <si>
    <t>Taxa efetiva freelancer</t>
  </si>
  <si>
    <t>(SS + IRS) / receita sem IVA</t>
  </si>
  <si>
    <t>Tabela rápida por taxa dia</t>
  </si>
  <si>
    <t>Dias/mês</t>
  </si>
  <si>
    <t>Meses/ano</t>
  </si>
  <si>
    <t>Receita anual</t>
  </si>
  <si>
    <t>IRS final</t>
  </si>
  <si>
    <t>Diferença vs contrato</t>
  </si>
  <si>
    <t>Notas importantes: o modelo de freelancer é uma estimativa para recibos verdes/regime simplificado. IVA não é rendimento; retenção é adiantamento de IRS. Valide situações específicas com contabilista/AT.</t>
  </si>
  <si>
    <t>Casado 2 titulares</t>
  </si>
  <si>
    <t>Sheet</t>
  </si>
  <si>
    <t xml:space="preserve">Idealização: Felipe Manso - Consultor LO (MM/SD)
🔗 LinkedIn: https://www.linkedin.com/in/sapfelipemanso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</si>
</sst>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€\ #,##0.00"/>
    <numFmt numFmtId="165" formatCode="\€\ #,##0"/>
    <numFmt numFmtId="166" formatCode="#,##0.00\ \€"/>
  </numFmts>
  <fonts count="7" x14ac:knownFonts="1"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b/>
      <sz val="11"/>
      <color rgb="FFFFFFFF"/>
      <name val="Carlito"/>
    </font>
    <font>
      <b/>
      <sz val="11"/>
      <color rgb="FF0F172A"/>
      <name val="Carlito"/>
    </font>
    <font>
      <sz val="11"/>
      <color rgb="FFFF0000"/>
      <name val="Carlito"/>
    </font>
    <font>
      <sz val="11"/>
      <color theme="3" tint="0.249977111117893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0F766E"/>
      </patternFill>
    </fill>
    <fill>
      <patternFill patternType="solid">
        <fgColor rgb="FF115E59"/>
      </patternFill>
    </fill>
    <fill>
      <patternFill patternType="solid">
        <fgColor rgb="FFCCFBF1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2" fillId="3" borderId="0" xfId="0" applyFont="1" applyFill="1" applyAlignment="1">
      <alignment horizontal="center" wrapText="1"/>
    </xf>
    <xf numFmtId="164" fontId="0" fillId="0" borderId="0" xfId="0" applyNumberFormat="1" applyAlignment="1">
      <alignment wrapText="1"/>
    </xf>
    <xf numFmtId="10" fontId="0" fillId="0" borderId="0" xfId="0" applyNumberFormat="1" applyAlignment="1">
      <alignment wrapText="1"/>
    </xf>
    <xf numFmtId="9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0" fontId="3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wrapText="1"/>
    </xf>
    <xf numFmtId="166" fontId="0" fillId="0" borderId="0" xfId="0" applyNumberFormat="1" applyAlignment="1">
      <alignment wrapText="1"/>
    </xf>
    <xf numFmtId="0" fontId="0" fillId="7" borderId="0" xfId="0" applyFill="1" applyAlignment="1">
      <alignment wrapText="1"/>
    </xf>
    <xf numFmtId="0" fontId="0" fillId="7" borderId="0" xfId="0" applyFill="1"/>
    <xf numFmtId="0" fontId="2" fillId="3" borderId="1" xfId="0" applyFont="1" applyFill="1" applyBorder="1" applyAlignment="1">
      <alignment horizontal="center" wrapText="1"/>
    </xf>
    <xf numFmtId="0" fontId="0" fillId="0" borderId="1" xfId="0" applyBorder="1" applyAlignment="1">
      <alignment wrapText="1"/>
    </xf>
    <xf numFmtId="164" fontId="0" fillId="0" borderId="1" xfId="0" applyNumberFormat="1" applyBorder="1" applyAlignment="1">
      <alignment wrapText="1"/>
    </xf>
    <xf numFmtId="10" fontId="0" fillId="0" borderId="1" xfId="0" applyNumberFormat="1" applyBorder="1" applyAlignment="1">
      <alignment wrapText="1"/>
    </xf>
    <xf numFmtId="0" fontId="2" fillId="3" borderId="2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3" borderId="4" xfId="0" applyFont="1" applyFill="1" applyBorder="1" applyAlignment="1">
      <alignment horizontal="center"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10" fontId="0" fillId="0" borderId="8" xfId="0" applyNumberFormat="1" applyBorder="1" applyAlignment="1">
      <alignment wrapText="1"/>
    </xf>
    <xf numFmtId="0" fontId="0" fillId="0" borderId="9" xfId="0" applyBorder="1" applyAlignment="1">
      <alignment wrapText="1"/>
    </xf>
    <xf numFmtId="0" fontId="0" fillId="0" borderId="1" xfId="0" applyBorder="1"/>
    <xf numFmtId="0" fontId="5" fillId="7" borderId="0" xfId="0" applyFont="1" applyFill="1"/>
    <xf numFmtId="0" fontId="3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wrapText="1"/>
    </xf>
    <xf numFmtId="166" fontId="0" fillId="0" borderId="1" xfId="0" applyNumberFormat="1" applyBorder="1" applyAlignment="1">
      <alignment wrapText="1"/>
    </xf>
    <xf numFmtId="1" fontId="0" fillId="0" borderId="1" xfId="0" applyNumberFormat="1" applyBorder="1" applyAlignment="1">
      <alignment wrapText="1"/>
    </xf>
    <xf numFmtId="166" fontId="4" fillId="6" borderId="1" xfId="0" applyNumberFormat="1" applyFont="1" applyFill="1" applyBorder="1" applyAlignment="1">
      <alignment wrapText="1"/>
    </xf>
    <xf numFmtId="164" fontId="0" fillId="0" borderId="0" xfId="0" applyNumberForma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1" fontId="0" fillId="0" borderId="0" xfId="0" applyNumberFormat="1" applyAlignment="1" applyProtection="1">
      <alignment wrapText="1"/>
      <protection locked="0"/>
    </xf>
    <xf numFmtId="0" fontId="0" fillId="7" borderId="0" xfId="0" applyFill="1" applyAlignment="1">
      <alignment horizontal="center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6" fillId="0" borderId="0" xfId="0" applyFont="1" applyAlignment="1" applyProtection="1">
      <alignment horizontal="center" wrapText="1"/>
    </xf>
    <xf numFmtId="0" fontId="1" fillId="4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14">
    <dxf>
      <font>
        <color rgb="FF047857"/>
      </font>
    </dxf>
    <dxf>
      <font>
        <color rgb="FFB91C1C"/>
      </font>
    </dxf>
    <dxf>
      <font>
        <color rgb="FF047857"/>
      </font>
    </dxf>
    <dxf>
      <font>
        <color rgb="FFB91C1C"/>
      </font>
    </dxf>
    <dxf>
      <protection locked="0" hidden="0"/>
    </dxf>
    <dxf>
      <protection locked="0" hidden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Líquido anual</c:v>
          </c:tx>
          <c:invertIfNegative val="1"/>
          <c:cat>
            <c:strRef>
              <c:f>'Comparador Contrato'!$A$4:$A$9</c:f>
              <c:strCache>
                <c:ptCount val="6"/>
                <c:pt idx="0">
                  <c:v>Cenário 1</c:v>
                </c:pt>
                <c:pt idx="1">
                  <c:v>Cenário 2</c:v>
                </c:pt>
                <c:pt idx="2">
                  <c:v>Cenário 3</c:v>
                </c:pt>
                <c:pt idx="3">
                  <c:v>Cenário 4</c:v>
                </c:pt>
                <c:pt idx="4">
                  <c:v>Cenário 5</c:v>
                </c:pt>
                <c:pt idx="5">
                  <c:v>Cenário 6</c:v>
                </c:pt>
              </c:strCache>
            </c:strRef>
          </c:cat>
          <c:val>
            <c:numRef>
              <c:f>'Comparador Contrato'!$G$4:$G$9</c:f>
              <c:numCache>
                <c:formatCode>\€\ #\ ##0.00</c:formatCode>
                <c:ptCount val="6"/>
                <c:pt idx="0">
                  <c:v>20581.105</c:v>
                </c:pt>
                <c:pt idx="1">
                  <c:v>28544.226999999999</c:v>
                </c:pt>
                <c:pt idx="2">
                  <c:v>36053.076999999997</c:v>
                </c:pt>
                <c:pt idx="3">
                  <c:v>42955.917000000001</c:v>
                </c:pt>
                <c:pt idx="4">
                  <c:v>49858.756999999998</c:v>
                </c:pt>
                <c:pt idx="5">
                  <c:v>56741.672999999995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1C-43FE-847A-0E19D79F0E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€\ #\ 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66675</xdr:rowOff>
    </xdr:from>
    <xdr:to>
      <xdr:col>8</xdr:col>
      <xdr:colOff>0</xdr:colOff>
      <xdr:row>26</xdr:row>
      <xdr:rowOff>66675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Entradas" displayName="TabelaEntradas" ref="A3:B14">
  <tableColumns count="2">
    <tableColumn id="1" xr3:uid="{00000000-0010-0000-0000-000001000000}" name="Campo"/>
    <tableColumn id="2" xr3:uid="{00000000-0010-0000-0000-000002000000}" name="Valor" dataDxfId="1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elaSimulador" displayName="TabelaSimulador" ref="A3:C19" headerRowDxfId="12" totalsRowDxfId="9" headerRowBorderDxfId="11" tableBorderDxfId="10">
  <tableColumns count="3">
    <tableColumn id="1" xr3:uid="{00000000-0010-0000-0100-000001000000}" name="Indicador" dataDxfId="8"/>
    <tableColumn id="2" xr3:uid="{00000000-0010-0000-0100-000002000000}" name="Fórmula/Valor" dataDxfId="7"/>
    <tableColumn id="3" xr3:uid="{00000000-0010-0000-0100-000003000000}" name="Nota" dataDxfId="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elaEscaloesIRS2026" displayName="TabelaEscaloesIRS2026" ref="A3:E12">
  <tableColumns count="5">
    <tableColumn id="1" xr3:uid="{00000000-0010-0000-0200-000001000000}" name="Escalão"/>
    <tableColumn id="2" xr3:uid="{00000000-0010-0000-0200-000002000000}" name="Limite inferior (€)"/>
    <tableColumn id="3" xr3:uid="{00000000-0010-0000-0200-000003000000}" name="Limite superior (€)"/>
    <tableColumn id="4" xr3:uid="{00000000-0010-0000-0200-000004000000}" name="Taxa marginal"/>
    <tableColumn id="5" xr3:uid="{00000000-0010-0000-0200-000005000000}" name="Imposto máximo no escalã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TabelaParametros" displayName="TabelaParametros" ref="A3:C12">
  <tableColumns count="3">
    <tableColumn id="1" xr3:uid="{00000000-0010-0000-0300-000001000000}" name="Parâmetro"/>
    <tableColumn id="2" xr3:uid="{00000000-0010-0000-0300-000002000000}" name="Valor"/>
    <tableColumn id="3" xr3:uid="{00000000-0010-0000-0300-000003000000}" name="Not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elaComparador" displayName="TabelaComparador" ref="A3:H9">
  <tableColumns count="8">
    <tableColumn id="1" xr3:uid="{00000000-0010-0000-0400-000001000000}" name="Cenário"/>
    <tableColumn id="2" xr3:uid="{00000000-0010-0000-0400-000002000000}" name="Bruto mensal" dataDxfId="5"/>
    <tableColumn id="3" xr3:uid="{00000000-0010-0000-0400-000003000000}" name="N.º salários" dataDxfId="4"/>
    <tableColumn id="4" xr3:uid="{00000000-0010-0000-0400-000004000000}" name="Bruto anual"/>
    <tableColumn id="5" xr3:uid="{00000000-0010-0000-0400-000005000000}" name="SS anual"/>
    <tableColumn id="6" xr3:uid="{00000000-0010-0000-0400-000006000000}" name="IRS estimado"/>
    <tableColumn id="7" xr3:uid="{00000000-0010-0000-0400-000007000000}" name="Líquido anual"/>
    <tableColumn id="8" xr3:uid="{00000000-0010-0000-0400-000008000000}" name="Líquido médio/mê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elaFontes" displayName="TabelaFontes" ref="A3:D9">
  <tableColumns count="4">
    <tableColumn id="1" xr3:uid="{00000000-0010-0000-0500-000001000000}" name="Tema"/>
    <tableColumn id="2" xr3:uid="{00000000-0010-0000-0500-000002000000}" name="Fonte"/>
    <tableColumn id="3" xr3:uid="{00000000-0010-0000-0500-000003000000}" name="URL"/>
    <tableColumn id="4" xr3:uid="{00000000-0010-0000-0500-000004000000}" name="Not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workbookViewId="0">
      <selection activeCell="B12" sqref="B12"/>
    </sheetView>
  </sheetViews>
  <sheetFormatPr defaultColWidth="9.01171875" defaultRowHeight="15" x14ac:dyDescent="0.2"/>
  <cols>
    <col min="1" max="1" width="34.03125" style="12" customWidth="1"/>
    <col min="2" max="2" width="22.328125" style="12" customWidth="1"/>
    <col min="3" max="16384" width="9.01171875" style="12"/>
  </cols>
  <sheetData>
    <row r="1" spans="1:8" ht="18.75" x14ac:dyDescent="0.2">
      <c r="A1" s="37" t="s">
        <v>0</v>
      </c>
      <c r="B1" s="37"/>
      <c r="C1" s="37"/>
      <c r="D1" s="37"/>
      <c r="E1" s="11"/>
      <c r="F1" s="11"/>
      <c r="G1" s="11"/>
      <c r="H1" s="11"/>
    </row>
    <row r="2" spans="1:8" x14ac:dyDescent="0.2">
      <c r="A2" s="2"/>
      <c r="B2" s="2"/>
      <c r="C2" s="11"/>
      <c r="D2" s="11"/>
      <c r="E2" s="11"/>
      <c r="F2" s="11"/>
      <c r="G2" s="11"/>
      <c r="H2" s="11"/>
    </row>
    <row r="3" spans="1:8" x14ac:dyDescent="0.2">
      <c r="A3" s="3" t="s">
        <v>1</v>
      </c>
      <c r="B3" s="3" t="s">
        <v>2</v>
      </c>
      <c r="C3" s="11"/>
      <c r="D3" s="11"/>
      <c r="E3" s="11"/>
      <c r="F3" s="11"/>
      <c r="G3" s="11"/>
      <c r="H3" s="11"/>
    </row>
    <row r="4" spans="1:8" x14ac:dyDescent="0.2">
      <c r="A4" s="2" t="s">
        <v>3</v>
      </c>
      <c r="B4" s="32">
        <v>3000</v>
      </c>
      <c r="C4" s="11"/>
      <c r="D4" s="11"/>
      <c r="E4" s="11"/>
      <c r="F4" s="11"/>
      <c r="G4" s="11"/>
      <c r="H4" s="11"/>
    </row>
    <row r="5" spans="1:8" x14ac:dyDescent="0.2">
      <c r="A5" s="2" t="s">
        <v>4</v>
      </c>
      <c r="B5" s="33">
        <v>14</v>
      </c>
      <c r="C5" s="11"/>
      <c r="D5" s="11"/>
      <c r="E5" s="11"/>
      <c r="F5" s="11"/>
      <c r="G5" s="11"/>
      <c r="H5" s="11"/>
    </row>
    <row r="6" spans="1:8" x14ac:dyDescent="0.2">
      <c r="A6" s="2" t="s">
        <v>5</v>
      </c>
      <c r="B6" s="33" t="s">
        <v>213</v>
      </c>
      <c r="C6" s="11"/>
      <c r="D6" s="11"/>
      <c r="E6" s="11"/>
      <c r="F6" s="11"/>
      <c r="G6" s="11"/>
      <c r="H6" s="11"/>
    </row>
    <row r="7" spans="1:8" x14ac:dyDescent="0.2">
      <c r="A7" s="2" t="s">
        <v>6</v>
      </c>
      <c r="B7" s="33">
        <v>2</v>
      </c>
      <c r="C7" s="11"/>
      <c r="D7" s="11"/>
      <c r="E7" s="11"/>
      <c r="F7" s="11"/>
      <c r="G7" s="11"/>
      <c r="H7" s="11"/>
    </row>
    <row r="8" spans="1:8" x14ac:dyDescent="0.2">
      <c r="A8" s="2" t="s">
        <v>7</v>
      </c>
      <c r="B8" s="33" t="s">
        <v>8</v>
      </c>
      <c r="C8" s="11"/>
      <c r="D8" s="11"/>
      <c r="E8" s="11"/>
      <c r="F8" s="11"/>
      <c r="G8" s="11"/>
      <c r="H8" s="11"/>
    </row>
    <row r="9" spans="1:8" x14ac:dyDescent="0.2">
      <c r="A9" s="2" t="s">
        <v>9</v>
      </c>
      <c r="B9" s="32">
        <v>200</v>
      </c>
      <c r="C9" s="11"/>
      <c r="D9" s="11"/>
      <c r="E9" s="11"/>
      <c r="F9" s="11"/>
      <c r="G9" s="11"/>
      <c r="H9" s="11"/>
    </row>
    <row r="10" spans="1:8" x14ac:dyDescent="0.2">
      <c r="A10" s="2" t="s">
        <v>10</v>
      </c>
      <c r="B10" s="32">
        <v>11</v>
      </c>
      <c r="C10" s="11"/>
      <c r="D10" s="11"/>
      <c r="E10" s="11"/>
      <c r="F10" s="11"/>
      <c r="G10" s="11"/>
      <c r="H10" s="11"/>
    </row>
    <row r="11" spans="1:8" x14ac:dyDescent="0.2">
      <c r="A11" s="2" t="s">
        <v>11</v>
      </c>
      <c r="B11" s="32">
        <v>600</v>
      </c>
      <c r="C11" s="11"/>
      <c r="D11" s="11"/>
      <c r="E11" s="11"/>
      <c r="F11" s="11"/>
      <c r="G11" s="11"/>
      <c r="H11" s="11"/>
    </row>
    <row r="12" spans="1:8" x14ac:dyDescent="0.2">
      <c r="A12" s="2" t="s">
        <v>12</v>
      </c>
      <c r="B12" s="33" t="s">
        <v>13</v>
      </c>
      <c r="C12" s="11"/>
      <c r="D12" s="11"/>
      <c r="E12" s="11"/>
      <c r="F12" s="11"/>
      <c r="G12" s="11"/>
      <c r="H12" s="11"/>
    </row>
    <row r="13" spans="1:8" x14ac:dyDescent="0.2">
      <c r="A13" s="2" t="s">
        <v>14</v>
      </c>
      <c r="B13" s="33">
        <v>42</v>
      </c>
      <c r="C13" s="11"/>
      <c r="D13" s="11"/>
      <c r="E13" s="11"/>
      <c r="F13" s="11"/>
      <c r="G13" s="11"/>
      <c r="H13" s="11"/>
    </row>
    <row r="14" spans="1:8" x14ac:dyDescent="0.2">
      <c r="A14" s="2" t="s">
        <v>15</v>
      </c>
      <c r="B14" s="33">
        <v>0</v>
      </c>
      <c r="C14" s="11"/>
      <c r="D14" s="11"/>
      <c r="E14" s="11"/>
      <c r="F14" s="11"/>
      <c r="G14" s="11"/>
      <c r="H14" s="11"/>
    </row>
    <row r="15" spans="1:8" x14ac:dyDescent="0.2">
      <c r="A15" s="11"/>
      <c r="B15" s="11"/>
      <c r="C15" s="11"/>
      <c r="D15" s="11"/>
      <c r="E15" s="11"/>
      <c r="F15" s="11"/>
      <c r="G15" s="11"/>
      <c r="H15" s="11"/>
    </row>
    <row r="16" spans="1:8" x14ac:dyDescent="0.2">
      <c r="A16" s="36" t="s">
        <v>16</v>
      </c>
      <c r="B16" s="36"/>
      <c r="C16" s="36"/>
      <c r="D16" s="36"/>
      <c r="E16" s="11"/>
      <c r="F16" s="11"/>
      <c r="G16" s="11"/>
      <c r="H16" s="11"/>
    </row>
    <row r="17" spans="1:8" x14ac:dyDescent="0.2">
      <c r="A17" s="36" t="s">
        <v>17</v>
      </c>
      <c r="B17" s="36"/>
      <c r="C17" s="36"/>
      <c r="D17" s="36"/>
      <c r="E17" s="11"/>
      <c r="F17" s="11"/>
      <c r="G17" s="11"/>
      <c r="H17" s="11"/>
    </row>
    <row r="18" spans="1:8" x14ac:dyDescent="0.2">
      <c r="A18" s="36" t="s">
        <v>18</v>
      </c>
      <c r="B18" s="36"/>
      <c r="C18" s="36"/>
      <c r="D18" s="36"/>
      <c r="E18" s="11"/>
      <c r="F18" s="11"/>
      <c r="G18" s="11"/>
      <c r="H18" s="11"/>
    </row>
    <row r="19" spans="1:8" x14ac:dyDescent="0.2">
      <c r="A19" s="36" t="s">
        <v>19</v>
      </c>
      <c r="B19" s="36"/>
      <c r="C19" s="36"/>
      <c r="D19" s="36"/>
      <c r="E19" s="11"/>
      <c r="F19" s="11"/>
      <c r="G19" s="11"/>
      <c r="H19" s="11"/>
    </row>
    <row r="20" spans="1:8" x14ac:dyDescent="0.2">
      <c r="A20" s="36" t="s">
        <v>20</v>
      </c>
      <c r="B20" s="36"/>
      <c r="C20" s="36"/>
      <c r="D20" s="36"/>
      <c r="E20" s="11"/>
      <c r="F20" s="11"/>
      <c r="G20" s="11"/>
      <c r="H20" s="11"/>
    </row>
    <row r="21" spans="1:8" x14ac:dyDescent="0.2">
      <c r="A21" s="36" t="s">
        <v>21</v>
      </c>
      <c r="B21" s="36"/>
      <c r="C21" s="36"/>
      <c r="D21" s="36"/>
      <c r="E21" s="11"/>
      <c r="F21" s="11"/>
      <c r="G21" s="11"/>
      <c r="H21" s="11"/>
    </row>
    <row r="22" spans="1:8" x14ac:dyDescent="0.2">
      <c r="A22" s="11"/>
      <c r="B22" s="11"/>
      <c r="C22" s="11"/>
      <c r="D22" s="11"/>
      <c r="E22" s="11"/>
      <c r="F22" s="11"/>
      <c r="G22" s="11"/>
      <c r="H22" s="11"/>
    </row>
    <row r="23" spans="1:8" x14ac:dyDescent="0.2">
      <c r="A23" s="9" t="s">
        <v>214</v>
      </c>
      <c r="B23" s="2" t="s">
        <v>22</v>
      </c>
      <c r="C23" s="11"/>
      <c r="D23" s="11"/>
      <c r="E23" s="11"/>
      <c r="F23" s="11"/>
      <c r="G23" s="11"/>
      <c r="H23" s="11"/>
    </row>
    <row r="24" spans="1:8" ht="41.25" x14ac:dyDescent="0.2">
      <c r="A24" s="9" t="s">
        <v>23</v>
      </c>
      <c r="B24" s="2" t="s">
        <v>24</v>
      </c>
      <c r="C24" s="11"/>
      <c r="D24" s="11"/>
      <c r="E24" s="11"/>
      <c r="F24" s="11"/>
      <c r="G24" s="11"/>
      <c r="H24" s="11"/>
    </row>
    <row r="25" spans="1:8" x14ac:dyDescent="0.2">
      <c r="A25" s="11"/>
      <c r="B25" s="11"/>
      <c r="C25" s="11"/>
      <c r="D25" s="11"/>
      <c r="E25" s="11"/>
      <c r="F25" s="11"/>
      <c r="G25" s="11"/>
      <c r="H25" s="11"/>
    </row>
    <row r="27" spans="1:8" x14ac:dyDescent="0.2">
      <c r="A27" s="35"/>
      <c r="B27" s="35"/>
      <c r="C27" s="35"/>
      <c r="D27" s="35"/>
    </row>
  </sheetData>
  <mergeCells count="8">
    <mergeCell ref="A27:D27"/>
    <mergeCell ref="A20:D20"/>
    <mergeCell ref="A21:D21"/>
    <mergeCell ref="A1:D1"/>
    <mergeCell ref="A16:D16"/>
    <mergeCell ref="A17:D17"/>
    <mergeCell ref="A18:D18"/>
    <mergeCell ref="A19:D19"/>
  </mergeCells>
  <dataValidations count="3">
    <dataValidation type="list" sqref="B6" xr:uid="{00000000-0002-0000-0000-000000000000}">
      <formula1>"Solteiro,Casado 1 titular,Casado 2 titulares"</formula1>
    </dataValidation>
    <dataValidation type="list" sqref="B8" xr:uid="{00000000-0002-0000-0000-000001000000}">
      <formula1>"Continente,Madeira,Açores"</formula1>
    </dataValidation>
    <dataValidation type="list" sqref="B12" xr:uid="{00000000-0002-0000-0000-000002000000}">
      <formula1>"Sim,Não"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7"/>
  <sheetViews>
    <sheetView workbookViewId="0">
      <selection activeCell="A25" sqref="A25:C25"/>
    </sheetView>
  </sheetViews>
  <sheetFormatPr defaultColWidth="9.01171875" defaultRowHeight="15" x14ac:dyDescent="0.2"/>
  <cols>
    <col min="1" max="1" width="39.4140625" style="12" bestFit="1" customWidth="1"/>
    <col min="2" max="2" width="15.73828125" style="12" customWidth="1"/>
    <col min="3" max="3" width="41.96875" style="12" customWidth="1"/>
    <col min="4" max="4" width="9.01171875" style="12"/>
    <col min="5" max="5" width="14.9296875" style="12" customWidth="1"/>
    <col min="6" max="6" width="10.35546875" style="12" bestFit="1" customWidth="1"/>
    <col min="7" max="16384" width="9.01171875" style="12"/>
  </cols>
  <sheetData>
    <row r="1" spans="1:8" ht="18.75" x14ac:dyDescent="0.2">
      <c r="A1" s="37" t="s">
        <v>25</v>
      </c>
      <c r="B1" s="37"/>
      <c r="C1" s="37"/>
      <c r="D1" s="37"/>
      <c r="E1" s="37"/>
      <c r="F1" s="37"/>
      <c r="G1" s="11"/>
      <c r="H1" s="11"/>
    </row>
    <row r="2" spans="1:8" x14ac:dyDescent="0.2">
      <c r="A2" s="11"/>
      <c r="B2" s="11"/>
      <c r="C2" s="11"/>
      <c r="D2" s="11"/>
      <c r="E2" s="11"/>
      <c r="F2" s="11"/>
      <c r="G2" s="11"/>
      <c r="H2" s="11"/>
    </row>
    <row r="3" spans="1:8" x14ac:dyDescent="0.2">
      <c r="A3" s="17" t="s">
        <v>26</v>
      </c>
      <c r="B3" s="18" t="s">
        <v>27</v>
      </c>
      <c r="C3" s="19" t="s">
        <v>28</v>
      </c>
      <c r="D3" s="11"/>
      <c r="E3" s="13" t="s">
        <v>29</v>
      </c>
      <c r="F3" s="13"/>
      <c r="G3" s="11"/>
      <c r="H3" s="11"/>
    </row>
    <row r="4" spans="1:8" x14ac:dyDescent="0.2">
      <c r="A4" s="20" t="s">
        <v>30</v>
      </c>
      <c r="B4" s="15">
        <f>Entradas!B4*Entradas!B5</f>
        <v>42000</v>
      </c>
      <c r="C4" s="21" t="s">
        <v>31</v>
      </c>
      <c r="D4" s="11"/>
      <c r="E4" s="14" t="s">
        <v>32</v>
      </c>
      <c r="F4" s="15">
        <f>B4</f>
        <v>42000</v>
      </c>
      <c r="G4" s="11"/>
      <c r="H4" s="11"/>
    </row>
    <row r="5" spans="1:8" x14ac:dyDescent="0.2">
      <c r="A5" s="20" t="s">
        <v>33</v>
      </c>
      <c r="B5" s="15">
        <f>Entradas!B9*Entradas!B10</f>
        <v>2200</v>
      </c>
      <c r="C5" s="21" t="s">
        <v>34</v>
      </c>
      <c r="D5" s="11"/>
      <c r="E5" s="14" t="s">
        <v>35</v>
      </c>
      <c r="F5" s="15">
        <f>B9</f>
        <v>4620</v>
      </c>
      <c r="G5" s="11"/>
      <c r="H5" s="11"/>
    </row>
    <row r="6" spans="1:8" x14ac:dyDescent="0.2">
      <c r="A6" s="20" t="s">
        <v>36</v>
      </c>
      <c r="B6" s="15">
        <f>MIN(Entradas!B9,Entradas!B11)*Entradas!B10</f>
        <v>2200</v>
      </c>
      <c r="C6" s="21" t="s">
        <v>37</v>
      </c>
      <c r="D6" s="11"/>
      <c r="E6" s="14" t="s">
        <v>38</v>
      </c>
      <c r="F6" s="15">
        <f>B16</f>
        <v>8835.773000000001</v>
      </c>
      <c r="G6" s="11"/>
      <c r="H6" s="11"/>
    </row>
    <row r="7" spans="1:8" x14ac:dyDescent="0.2">
      <c r="A7" s="20" t="s">
        <v>39</v>
      </c>
      <c r="B7" s="15">
        <f>MAX(0,B5-B6)</f>
        <v>0</v>
      </c>
      <c r="C7" s="21" t="s">
        <v>40</v>
      </c>
      <c r="D7" s="11"/>
      <c r="E7" s="14" t="s">
        <v>41</v>
      </c>
      <c r="F7" s="15">
        <f>B17</f>
        <v>30744.226999999999</v>
      </c>
      <c r="G7" s="11"/>
      <c r="H7" s="11"/>
    </row>
    <row r="8" spans="1:8" ht="27.75" x14ac:dyDescent="0.2">
      <c r="A8" s="20" t="s">
        <v>42</v>
      </c>
      <c r="B8" s="15">
        <f>B4+B7+Parâmetros!B11</f>
        <v>42000</v>
      </c>
      <c r="C8" s="21" t="s">
        <v>43</v>
      </c>
      <c r="D8" s="11"/>
      <c r="E8" s="14" t="s">
        <v>44</v>
      </c>
      <c r="F8" s="15">
        <f>B18</f>
        <v>2196.0162142857143</v>
      </c>
      <c r="G8" s="11"/>
      <c r="H8" s="11"/>
    </row>
    <row r="9" spans="1:8" x14ac:dyDescent="0.2">
      <c r="A9" s="20" t="s">
        <v>45</v>
      </c>
      <c r="B9" s="15">
        <f>B4*Parâmetros!B4</f>
        <v>4620</v>
      </c>
      <c r="C9" s="21" t="s">
        <v>46</v>
      </c>
      <c r="D9" s="11"/>
      <c r="E9" s="14" t="s">
        <v>47</v>
      </c>
      <c r="F9" s="16">
        <f>B19</f>
        <v>0.30442925339366517</v>
      </c>
      <c r="G9" s="11"/>
      <c r="H9" s="11"/>
    </row>
    <row r="10" spans="1:8" x14ac:dyDescent="0.2">
      <c r="A10" s="20" t="s">
        <v>48</v>
      </c>
      <c r="B10" s="15">
        <f>MAX(Parâmetros!B5,B9)</f>
        <v>4620</v>
      </c>
      <c r="C10" s="21" t="s">
        <v>49</v>
      </c>
      <c r="D10" s="11"/>
      <c r="E10" s="11"/>
      <c r="F10" s="11"/>
      <c r="G10" s="11"/>
      <c r="H10" s="11"/>
    </row>
    <row r="11" spans="1:8" x14ac:dyDescent="0.2">
      <c r="A11" s="20" t="s">
        <v>50</v>
      </c>
      <c r="B11" s="15">
        <f>MAX(0,B8-B10)</f>
        <v>37380</v>
      </c>
      <c r="C11" s="21" t="s">
        <v>51</v>
      </c>
      <c r="D11" s="11"/>
      <c r="E11" s="11"/>
      <c r="F11" s="11"/>
      <c r="G11" s="11"/>
      <c r="H11" s="11"/>
    </row>
    <row r="12" spans="1:8" x14ac:dyDescent="0.2">
      <c r="A12" s="20" t="s">
        <v>52</v>
      </c>
      <c r="B12" s="15">
        <f>IF(Entradas!B12="Sim",MIN(B11,VLOOKUP(Entradas!B14,Parâmetros!E4:G10,2,FALSE)*VLOOKUP(Entradas!B14,Parâmetros!E4:G10,3,FALSE)),0)</f>
        <v>0</v>
      </c>
      <c r="C12" s="21" t="s">
        <v>53</v>
      </c>
      <c r="D12" s="11"/>
      <c r="E12" s="11"/>
      <c r="F12" s="11"/>
      <c r="G12" s="11"/>
      <c r="H12" s="11"/>
    </row>
    <row r="13" spans="1:8" x14ac:dyDescent="0.2">
      <c r="A13" s="20" t="s">
        <v>54</v>
      </c>
      <c r="B13" s="15">
        <f>MAX(0,B11-B12)</f>
        <v>37380</v>
      </c>
      <c r="C13" s="21" t="s">
        <v>55</v>
      </c>
      <c r="D13" s="11"/>
      <c r="E13" s="11"/>
      <c r="F13" s="11"/>
      <c r="G13" s="11"/>
      <c r="H13" s="11"/>
    </row>
    <row r="14" spans="1:8" x14ac:dyDescent="0.2">
      <c r="A14" s="20" t="s">
        <v>56</v>
      </c>
      <c r="B14" s="15">
        <f>MAX(0,MIN(B13,Escalões_IRS_2026!C4)-Escalões_IRS_2026!B4)*Escalões_IRS_2026!D4+MAX(0,MIN(B13,Escalões_IRS_2026!C5)-Escalões_IRS_2026!B5)*Escalões_IRS_2026!D5+MAX(0,MIN(B13,Escalões_IRS_2026!C6)-Escalões_IRS_2026!B6)*Escalões_IRS_2026!D6+MAX(0,MIN(B13,Escalões_IRS_2026!C7)-Escalões_IRS_2026!B7)*Escalões_IRS_2026!D7+MAX(0,MIN(B13,Escalões_IRS_2026!C8)-Escalões_IRS_2026!B8)*Escalões_IRS_2026!D8+MAX(0,MIN(B13,Escalões_IRS_2026!C9)-Escalões_IRS_2026!B9)*Escalões_IRS_2026!D9+MAX(0,MIN(B13,Escalões_IRS_2026!C10)-Escalões_IRS_2026!B10)*Escalões_IRS_2026!D10+MAX(0,MIN(B13,Escalões_IRS_2026!C11)-Escalões_IRS_2026!B11)*Escalões_IRS_2026!D11+MAX(0,MIN(B13,Escalões_IRS_2026!C12)-Escalões_IRS_2026!B12)*Escalões_IRS_2026!D12</f>
        <v>8835.773000000001</v>
      </c>
      <c r="C14" s="21" t="s">
        <v>57</v>
      </c>
      <c r="D14" s="11"/>
      <c r="E14" s="11"/>
      <c r="F14" s="11"/>
      <c r="G14" s="11"/>
      <c r="H14" s="11"/>
    </row>
    <row r="15" spans="1:8" x14ac:dyDescent="0.2">
      <c r="A15" s="20" t="s">
        <v>58</v>
      </c>
      <c r="B15" s="15">
        <f>Parâmetros!B9+Parâmetros!B10</f>
        <v>0</v>
      </c>
      <c r="C15" s="21" t="s">
        <v>59</v>
      </c>
      <c r="D15" s="11"/>
      <c r="E15" s="11"/>
      <c r="F15" s="11"/>
      <c r="G15" s="11"/>
      <c r="H15" s="11"/>
    </row>
    <row r="16" spans="1:8" x14ac:dyDescent="0.2">
      <c r="A16" s="20" t="s">
        <v>60</v>
      </c>
      <c r="B16" s="15">
        <f>MAX(0,B14-B15)</f>
        <v>8835.773000000001</v>
      </c>
      <c r="C16" s="21" t="s">
        <v>61</v>
      </c>
      <c r="D16" s="11"/>
      <c r="E16" s="11"/>
      <c r="F16" s="11"/>
      <c r="G16" s="11"/>
      <c r="H16" s="11"/>
    </row>
    <row r="17" spans="1:8" x14ac:dyDescent="0.2">
      <c r="A17" s="20" t="s">
        <v>62</v>
      </c>
      <c r="B17" s="15">
        <f>B4+B5-B9-B16</f>
        <v>30744.226999999999</v>
      </c>
      <c r="C17" s="21" t="s">
        <v>63</v>
      </c>
      <c r="D17" s="11"/>
      <c r="E17" s="11"/>
      <c r="F17" s="11"/>
      <c r="G17" s="11"/>
      <c r="H17" s="11"/>
    </row>
    <row r="18" spans="1:8" x14ac:dyDescent="0.2">
      <c r="A18" s="20" t="s">
        <v>64</v>
      </c>
      <c r="B18" s="15">
        <f>B17/Entradas!B5</f>
        <v>2196.0162142857143</v>
      </c>
      <c r="C18" s="21" t="s">
        <v>65</v>
      </c>
      <c r="D18" s="11"/>
      <c r="E18" s="11"/>
      <c r="F18" s="11"/>
      <c r="G18" s="11"/>
      <c r="H18" s="11"/>
    </row>
    <row r="19" spans="1:8" x14ac:dyDescent="0.2">
      <c r="A19" s="22" t="s">
        <v>66</v>
      </c>
      <c r="B19" s="23">
        <f>IFERROR((B9+B16)/(B4+B5),0)</f>
        <v>0.30442925339366517</v>
      </c>
      <c r="C19" s="24" t="s">
        <v>67</v>
      </c>
      <c r="D19" s="11"/>
      <c r="E19" s="11"/>
      <c r="F19" s="11"/>
      <c r="G19" s="11"/>
      <c r="H19" s="11"/>
    </row>
    <row r="20" spans="1:8" x14ac:dyDescent="0.2">
      <c r="A20" s="11"/>
      <c r="B20" s="11"/>
      <c r="C20" s="11"/>
      <c r="D20" s="11"/>
      <c r="E20" s="11"/>
      <c r="F20" s="11"/>
      <c r="G20" s="11"/>
      <c r="H20" s="11"/>
    </row>
    <row r="21" spans="1:8" x14ac:dyDescent="0.2">
      <c r="A21" s="11"/>
      <c r="B21" s="11"/>
      <c r="C21" s="11"/>
      <c r="D21" s="11"/>
      <c r="E21" s="11"/>
      <c r="F21" s="11"/>
      <c r="G21" s="11"/>
      <c r="H21" s="11"/>
    </row>
    <row r="22" spans="1:8" x14ac:dyDescent="0.2">
      <c r="A22" s="11"/>
      <c r="B22" s="11"/>
      <c r="C22" s="11"/>
      <c r="D22" s="11"/>
      <c r="E22" s="11"/>
      <c r="F22" s="11"/>
      <c r="G22" s="11"/>
      <c r="H22" s="11"/>
    </row>
    <row r="23" spans="1:8" x14ac:dyDescent="0.2">
      <c r="A23" s="11"/>
      <c r="B23" s="11"/>
      <c r="C23" s="11"/>
      <c r="D23" s="11"/>
      <c r="E23" s="11"/>
      <c r="F23" s="11"/>
      <c r="G23" s="11"/>
      <c r="H23" s="11"/>
    </row>
    <row r="24" spans="1:8" x14ac:dyDescent="0.2">
      <c r="A24" s="11"/>
      <c r="B24" s="11"/>
      <c r="C24" s="11"/>
      <c r="D24" s="11"/>
      <c r="E24" s="11"/>
      <c r="F24" s="11"/>
      <c r="G24" s="11"/>
      <c r="H24" s="11"/>
    </row>
    <row r="25" spans="1:8" ht="57" customHeight="1" x14ac:dyDescent="0.2">
      <c r="A25" s="38" t="s">
        <v>215</v>
      </c>
      <c r="B25" s="38"/>
      <c r="C25" s="38"/>
      <c r="D25" s="11"/>
      <c r="E25" s="11"/>
      <c r="F25" s="11"/>
      <c r="G25" s="11"/>
      <c r="H25" s="11"/>
    </row>
    <row r="26" spans="1:8" x14ac:dyDescent="0.2">
      <c r="A26" s="11"/>
      <c r="B26" s="11"/>
      <c r="C26" s="11"/>
      <c r="D26" s="11"/>
      <c r="E26" s="11"/>
      <c r="F26" s="11"/>
      <c r="G26" s="11"/>
      <c r="H26" s="11"/>
    </row>
    <row r="27" spans="1:8" x14ac:dyDescent="0.2">
      <c r="A27" s="11"/>
      <c r="B27" s="11"/>
      <c r="C27" s="11"/>
      <c r="D27" s="11"/>
      <c r="E27" s="11"/>
      <c r="F27" s="11"/>
      <c r="G27" s="11"/>
      <c r="H27" s="11"/>
    </row>
  </sheetData>
  <sheetProtection formatCells="0" formatColumns="0" formatRows="0" insertColumns="0" insertRows="0" insertHyperlinks="0" deleteColumns="0" deleteRows="0" sort="0" autoFilter="0" pivotTables="0"/>
  <mergeCells count="2">
    <mergeCell ref="A1:F1"/>
    <mergeCell ref="A25:C25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5"/>
  <sheetViews>
    <sheetView workbookViewId="0">
      <selection sqref="A1:E1"/>
    </sheetView>
  </sheetViews>
  <sheetFormatPr defaultRowHeight="15" x14ac:dyDescent="0.2"/>
  <cols>
    <col min="1" max="1" width="45.0625" customWidth="1"/>
    <col min="2" max="2" width="13.71875" customWidth="1"/>
    <col min="3" max="3" width="14.52734375" customWidth="1"/>
    <col min="4" max="4" width="11.02734375" customWidth="1"/>
    <col min="5" max="5" width="21.92578125" customWidth="1"/>
  </cols>
  <sheetData>
    <row r="1" spans="1:8" ht="18.75" x14ac:dyDescent="0.2">
      <c r="A1" s="37" t="s">
        <v>68</v>
      </c>
      <c r="B1" s="37"/>
      <c r="C1" s="37"/>
      <c r="D1" s="37"/>
      <c r="E1" s="37"/>
      <c r="F1" s="2"/>
      <c r="G1" s="2"/>
      <c r="H1" s="2"/>
    </row>
    <row r="2" spans="1:8" x14ac:dyDescent="0.2">
      <c r="A2" s="2"/>
      <c r="B2" s="2"/>
      <c r="C2" s="2"/>
      <c r="D2" s="2"/>
      <c r="E2" s="2"/>
      <c r="F2" s="2"/>
      <c r="G2" s="2"/>
      <c r="H2" s="2"/>
    </row>
    <row r="3" spans="1:8" ht="27.75" x14ac:dyDescent="0.2">
      <c r="A3" s="3" t="s">
        <v>69</v>
      </c>
      <c r="B3" s="3" t="s">
        <v>70</v>
      </c>
      <c r="C3" s="3" t="s">
        <v>71</v>
      </c>
      <c r="D3" s="3" t="s">
        <v>72</v>
      </c>
      <c r="E3" s="3" t="s">
        <v>73</v>
      </c>
      <c r="F3" s="2"/>
      <c r="G3" s="2"/>
      <c r="H3" s="2"/>
    </row>
    <row r="4" spans="1:8" x14ac:dyDescent="0.2">
      <c r="A4" s="2">
        <v>1</v>
      </c>
      <c r="B4" s="7">
        <v>0</v>
      </c>
      <c r="C4" s="7">
        <v>8342</v>
      </c>
      <c r="D4" s="5">
        <v>0.125</v>
      </c>
      <c r="E4" s="4">
        <f t="shared" ref="E4:E12" si="0">MAX(0,C4-B4)*D4</f>
        <v>1042.75</v>
      </c>
      <c r="F4" s="2"/>
      <c r="G4" s="2"/>
      <c r="H4" s="2"/>
    </row>
    <row r="5" spans="1:8" x14ac:dyDescent="0.2">
      <c r="A5" s="2">
        <v>2</v>
      </c>
      <c r="B5" s="7">
        <v>8342</v>
      </c>
      <c r="C5" s="7">
        <v>12587</v>
      </c>
      <c r="D5" s="5">
        <v>0.157</v>
      </c>
      <c r="E5" s="4">
        <f t="shared" si="0"/>
        <v>666.46500000000003</v>
      </c>
      <c r="F5" s="2"/>
      <c r="G5" s="2"/>
      <c r="H5" s="2"/>
    </row>
    <row r="6" spans="1:8" x14ac:dyDescent="0.2">
      <c r="A6" s="2">
        <v>3</v>
      </c>
      <c r="B6" s="7">
        <v>12587</v>
      </c>
      <c r="C6" s="7">
        <v>17838</v>
      </c>
      <c r="D6" s="5">
        <v>0.21199999999999999</v>
      </c>
      <c r="E6" s="4">
        <f t="shared" si="0"/>
        <v>1113.212</v>
      </c>
      <c r="F6" s="2"/>
      <c r="G6" s="2"/>
      <c r="H6" s="2"/>
    </row>
    <row r="7" spans="1:8" x14ac:dyDescent="0.2">
      <c r="A7" s="2">
        <v>4</v>
      </c>
      <c r="B7" s="7">
        <v>17838</v>
      </c>
      <c r="C7" s="7">
        <v>23089</v>
      </c>
      <c r="D7" s="5">
        <v>0.24099999999999999</v>
      </c>
      <c r="E7" s="4">
        <f t="shared" si="0"/>
        <v>1265.491</v>
      </c>
      <c r="F7" s="2"/>
      <c r="G7" s="2"/>
      <c r="H7" s="2"/>
    </row>
    <row r="8" spans="1:8" x14ac:dyDescent="0.2">
      <c r="A8" s="2">
        <v>5</v>
      </c>
      <c r="B8" s="7">
        <v>23089</v>
      </c>
      <c r="C8" s="7">
        <v>29397</v>
      </c>
      <c r="D8" s="5">
        <v>0.311</v>
      </c>
      <c r="E8" s="4">
        <f t="shared" si="0"/>
        <v>1961.788</v>
      </c>
      <c r="F8" s="2"/>
      <c r="G8" s="2"/>
      <c r="H8" s="2"/>
    </row>
    <row r="9" spans="1:8" x14ac:dyDescent="0.2">
      <c r="A9" s="2">
        <v>6</v>
      </c>
      <c r="B9" s="7">
        <v>29397</v>
      </c>
      <c r="C9" s="7">
        <v>43090</v>
      </c>
      <c r="D9" s="5">
        <v>0.34899999999999998</v>
      </c>
      <c r="E9" s="4">
        <f t="shared" si="0"/>
        <v>4778.857</v>
      </c>
      <c r="F9" s="2"/>
      <c r="G9" s="2"/>
      <c r="H9" s="2"/>
    </row>
    <row r="10" spans="1:8" x14ac:dyDescent="0.2">
      <c r="A10" s="2">
        <v>7</v>
      </c>
      <c r="B10" s="7">
        <v>43090</v>
      </c>
      <c r="C10" s="7">
        <v>46566</v>
      </c>
      <c r="D10" s="5">
        <v>0.43099999999999999</v>
      </c>
      <c r="E10" s="4">
        <f t="shared" si="0"/>
        <v>1498.1559999999999</v>
      </c>
      <c r="F10" s="2"/>
      <c r="G10" s="2"/>
      <c r="H10" s="2"/>
    </row>
    <row r="11" spans="1:8" x14ac:dyDescent="0.2">
      <c r="A11" s="2">
        <v>8</v>
      </c>
      <c r="B11" s="7">
        <v>46566</v>
      </c>
      <c r="C11" s="7">
        <v>86634</v>
      </c>
      <c r="D11" s="5">
        <v>0.44600000000000001</v>
      </c>
      <c r="E11" s="4">
        <f t="shared" si="0"/>
        <v>17870.328000000001</v>
      </c>
      <c r="F11" s="2"/>
      <c r="G11" s="2"/>
      <c r="H11" s="2"/>
    </row>
    <row r="12" spans="1:8" x14ac:dyDescent="0.2">
      <c r="A12" s="2">
        <v>9</v>
      </c>
      <c r="B12" s="7">
        <v>86634</v>
      </c>
      <c r="C12" s="7">
        <v>999999999</v>
      </c>
      <c r="D12" s="5">
        <v>0.48</v>
      </c>
      <c r="E12" s="4">
        <f t="shared" si="0"/>
        <v>479958415.19999999</v>
      </c>
      <c r="F12" s="2"/>
      <c r="G12" s="2"/>
      <c r="H12" s="2"/>
    </row>
    <row r="13" spans="1:8" x14ac:dyDescent="0.2">
      <c r="A13" s="2"/>
      <c r="B13" s="2"/>
      <c r="C13" s="2"/>
      <c r="D13" s="2"/>
      <c r="E13" s="2"/>
      <c r="F13" s="2"/>
      <c r="G13" s="2"/>
      <c r="H13" s="2"/>
    </row>
    <row r="14" spans="1:8" x14ac:dyDescent="0.2">
      <c r="A14" s="2"/>
      <c r="B14" s="2"/>
      <c r="C14" s="2"/>
      <c r="D14" s="2"/>
      <c r="E14" s="2"/>
      <c r="F14" s="2"/>
      <c r="G14" s="2"/>
      <c r="H14" s="2"/>
    </row>
    <row r="15" spans="1:8" x14ac:dyDescent="0.2">
      <c r="A15" s="2"/>
      <c r="B15" s="2"/>
      <c r="C15" s="2"/>
      <c r="D15" s="2"/>
      <c r="E15" s="2"/>
      <c r="F15" s="2"/>
      <c r="G15" s="2"/>
      <c r="H15" s="2"/>
    </row>
    <row r="16" spans="1:8" x14ac:dyDescent="0.2">
      <c r="A16" s="2"/>
      <c r="B16" s="2"/>
      <c r="C16" s="2"/>
      <c r="D16" s="2"/>
      <c r="E16" s="2"/>
      <c r="F16" s="2"/>
      <c r="G16" s="2"/>
      <c r="H16" s="2"/>
    </row>
    <row r="17" spans="1:8" x14ac:dyDescent="0.2">
      <c r="A17" s="2"/>
      <c r="B17" s="2"/>
      <c r="C17" s="2"/>
      <c r="D17" s="2"/>
      <c r="E17" s="2"/>
      <c r="F17" s="2"/>
      <c r="G17" s="2"/>
      <c r="H17" s="2"/>
    </row>
    <row r="18" spans="1:8" x14ac:dyDescent="0.2">
      <c r="A18" s="2"/>
      <c r="B18" s="2"/>
      <c r="C18" s="2"/>
      <c r="D18" s="2"/>
      <c r="E18" s="2"/>
      <c r="F18" s="2"/>
      <c r="G18" s="2"/>
      <c r="H18" s="2"/>
    </row>
    <row r="19" spans="1:8" x14ac:dyDescent="0.2">
      <c r="A19" s="2"/>
      <c r="B19" s="2"/>
      <c r="C19" s="2"/>
      <c r="D19" s="2"/>
      <c r="E19" s="2"/>
      <c r="F19" s="2"/>
      <c r="G19" s="2"/>
      <c r="H19" s="2"/>
    </row>
    <row r="20" spans="1:8" x14ac:dyDescent="0.2">
      <c r="A20" s="2"/>
      <c r="B20" s="2"/>
      <c r="C20" s="2"/>
      <c r="D20" s="2"/>
      <c r="E20" s="2"/>
      <c r="F20" s="2"/>
      <c r="G20" s="2"/>
      <c r="H20" s="2"/>
    </row>
    <row r="21" spans="1:8" x14ac:dyDescent="0.2">
      <c r="A21" s="2"/>
      <c r="B21" s="2"/>
      <c r="C21" s="2"/>
      <c r="D21" s="2"/>
      <c r="E21" s="2"/>
      <c r="F21" s="2"/>
      <c r="G21" s="2"/>
      <c r="H21" s="2"/>
    </row>
    <row r="22" spans="1:8" x14ac:dyDescent="0.2">
      <c r="A22" s="2"/>
      <c r="B22" s="2"/>
      <c r="C22" s="2"/>
      <c r="D22" s="2"/>
      <c r="E22" s="2"/>
      <c r="F22" s="2"/>
      <c r="G22" s="2"/>
      <c r="H22" s="2"/>
    </row>
    <row r="23" spans="1:8" x14ac:dyDescent="0.2">
      <c r="A23" s="2"/>
      <c r="B23" s="2"/>
      <c r="C23" s="2"/>
      <c r="D23" s="2"/>
      <c r="E23" s="2"/>
      <c r="F23" s="2"/>
      <c r="G23" s="2"/>
      <c r="H23" s="2"/>
    </row>
    <row r="24" spans="1:8" x14ac:dyDescent="0.2">
      <c r="A24" s="2"/>
      <c r="B24" s="2"/>
      <c r="C24" s="2"/>
      <c r="D24" s="2"/>
      <c r="E24" s="2"/>
      <c r="F24" s="2"/>
      <c r="G24" s="2"/>
      <c r="H24" s="2"/>
    </row>
    <row r="25" spans="1:8" x14ac:dyDescent="0.2">
      <c r="A25" s="2"/>
      <c r="B25" s="2"/>
      <c r="C25" s="2"/>
      <c r="D25" s="2"/>
      <c r="E25" s="2"/>
      <c r="F25" s="2"/>
      <c r="G25" s="2"/>
      <c r="H25" s="2"/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5"/>
  <sheetViews>
    <sheetView workbookViewId="0">
      <selection sqref="A1:E1"/>
    </sheetView>
  </sheetViews>
  <sheetFormatPr defaultRowHeight="15" x14ac:dyDescent="0.2"/>
  <cols>
    <col min="1" max="1" width="30.9375" customWidth="1"/>
    <col min="2" max="2" width="8.33984375" customWidth="1"/>
    <col min="3" max="3" width="37.80078125" customWidth="1"/>
    <col min="5" max="5" width="12.5078125" customWidth="1"/>
    <col min="6" max="6" width="7.93359375" customWidth="1"/>
    <col min="7" max="7" width="12.375" customWidth="1"/>
    <col min="8" max="8" width="11.43359375" customWidth="1"/>
  </cols>
  <sheetData>
    <row r="1" spans="1:8" ht="18.75" x14ac:dyDescent="0.2">
      <c r="A1" s="37" t="s">
        <v>74</v>
      </c>
      <c r="B1" s="37"/>
      <c r="C1" s="37"/>
      <c r="D1" s="37"/>
      <c r="E1" s="1"/>
      <c r="F1" s="1"/>
      <c r="G1" s="1"/>
      <c r="H1" s="1"/>
    </row>
    <row r="2" spans="1:8" x14ac:dyDescent="0.2">
      <c r="A2" s="2"/>
      <c r="B2" s="2"/>
      <c r="C2" s="2"/>
      <c r="D2" s="2"/>
      <c r="E2" s="2"/>
      <c r="F2" s="2"/>
      <c r="G2" s="2"/>
      <c r="H2" s="2"/>
    </row>
    <row r="3" spans="1:8" ht="27.75" x14ac:dyDescent="0.2">
      <c r="A3" s="3" t="s">
        <v>75</v>
      </c>
      <c r="B3" s="3" t="s">
        <v>2</v>
      </c>
      <c r="C3" s="3" t="s">
        <v>28</v>
      </c>
      <c r="D3" s="2"/>
      <c r="E3" s="3" t="s">
        <v>76</v>
      </c>
      <c r="F3" s="3" t="s">
        <v>77</v>
      </c>
      <c r="G3" s="3" t="s">
        <v>78</v>
      </c>
      <c r="H3" s="3" t="s">
        <v>28</v>
      </c>
    </row>
    <row r="4" spans="1:8" ht="27.75" x14ac:dyDescent="0.2">
      <c r="A4" s="2" t="s">
        <v>79</v>
      </c>
      <c r="B4" s="5">
        <v>0.11</v>
      </c>
      <c r="C4" s="2" t="s">
        <v>80</v>
      </c>
      <c r="D4" s="2"/>
      <c r="E4" s="2">
        <v>1</v>
      </c>
      <c r="F4" s="6">
        <v>1</v>
      </c>
      <c r="G4" s="4">
        <v>28737.5</v>
      </c>
      <c r="H4" s="2" t="s">
        <v>81</v>
      </c>
    </row>
    <row r="5" spans="1:8" ht="27.75" x14ac:dyDescent="0.2">
      <c r="A5" s="2" t="s">
        <v>82</v>
      </c>
      <c r="B5" s="4">
        <v>4104</v>
      </c>
      <c r="C5" s="2" t="s">
        <v>83</v>
      </c>
      <c r="D5" s="2"/>
      <c r="E5" s="2">
        <v>2</v>
      </c>
      <c r="F5" s="6">
        <v>0.75</v>
      </c>
      <c r="G5" s="4">
        <v>28737.5</v>
      </c>
      <c r="H5" s="2" t="s">
        <v>81</v>
      </c>
    </row>
    <row r="6" spans="1:8" ht="27.75" x14ac:dyDescent="0.2">
      <c r="A6" s="2" t="s">
        <v>84</v>
      </c>
      <c r="B6" s="4">
        <v>10.199999999999999</v>
      </c>
      <c r="C6" s="2" t="s">
        <v>85</v>
      </c>
      <c r="D6" s="2"/>
      <c r="E6" s="2">
        <v>3</v>
      </c>
      <c r="F6" s="6">
        <v>0.5</v>
      </c>
      <c r="G6" s="4">
        <v>28737.5</v>
      </c>
      <c r="H6" s="2" t="s">
        <v>81</v>
      </c>
    </row>
    <row r="7" spans="1:8" ht="27.75" x14ac:dyDescent="0.2">
      <c r="A7" s="2" t="s">
        <v>86</v>
      </c>
      <c r="B7" s="4">
        <v>22</v>
      </c>
      <c r="C7" s="2" t="s">
        <v>87</v>
      </c>
      <c r="D7" s="2"/>
      <c r="E7" s="2">
        <v>4</v>
      </c>
      <c r="F7" s="6">
        <v>0.5</v>
      </c>
      <c r="G7" s="4">
        <v>28737.5</v>
      </c>
      <c r="H7" s="2" t="s">
        <v>81</v>
      </c>
    </row>
    <row r="8" spans="1:8" ht="27.75" x14ac:dyDescent="0.2">
      <c r="A8" s="2" t="s">
        <v>88</v>
      </c>
      <c r="B8" s="4">
        <v>0</v>
      </c>
      <c r="C8" s="2" t="s">
        <v>89</v>
      </c>
      <c r="D8" s="2"/>
      <c r="E8" s="2">
        <v>5</v>
      </c>
      <c r="F8" s="6">
        <v>0.25</v>
      </c>
      <c r="G8" s="4">
        <v>28737.5</v>
      </c>
      <c r="H8" s="2" t="s">
        <v>81</v>
      </c>
    </row>
    <row r="9" spans="1:8" ht="27.75" x14ac:dyDescent="0.2">
      <c r="A9" s="2" t="s">
        <v>90</v>
      </c>
      <c r="B9" s="4">
        <v>0</v>
      </c>
      <c r="C9" s="2" t="s">
        <v>91</v>
      </c>
      <c r="D9" s="2"/>
      <c r="E9" s="2">
        <v>0</v>
      </c>
      <c r="F9" s="6">
        <v>0</v>
      </c>
      <c r="G9" s="4">
        <v>0</v>
      </c>
      <c r="H9" s="2" t="s">
        <v>92</v>
      </c>
    </row>
    <row r="10" spans="1:8" x14ac:dyDescent="0.2">
      <c r="A10" s="2" t="s">
        <v>93</v>
      </c>
      <c r="B10" s="4">
        <v>0</v>
      </c>
      <c r="C10" s="2" t="s">
        <v>91</v>
      </c>
      <c r="D10" s="2"/>
      <c r="E10" s="2"/>
      <c r="F10" s="6"/>
      <c r="G10" s="4"/>
      <c r="H10" s="2"/>
    </row>
    <row r="11" spans="1:8" ht="27.75" x14ac:dyDescent="0.2">
      <c r="A11" s="2" t="s">
        <v>94</v>
      </c>
      <c r="B11" s="4">
        <v>0</v>
      </c>
      <c r="C11" s="2" t="s">
        <v>91</v>
      </c>
      <c r="D11" s="2"/>
      <c r="E11" s="2"/>
      <c r="F11" s="2"/>
      <c r="G11" s="2"/>
      <c r="H11" s="2"/>
    </row>
    <row r="12" spans="1:8" x14ac:dyDescent="0.2">
      <c r="A12" s="2" t="s">
        <v>95</v>
      </c>
      <c r="B12" s="2">
        <v>2026</v>
      </c>
      <c r="C12" s="2"/>
      <c r="D12" s="2"/>
      <c r="E12" s="2"/>
      <c r="F12" s="2"/>
      <c r="G12" s="2"/>
      <c r="H12" s="2"/>
    </row>
    <row r="13" spans="1:8" x14ac:dyDescent="0.2">
      <c r="A13" s="2"/>
      <c r="B13" s="2"/>
      <c r="C13" s="2"/>
      <c r="D13" s="2"/>
      <c r="E13" s="2"/>
      <c r="F13" s="2"/>
      <c r="G13" s="2"/>
      <c r="H13" s="2"/>
    </row>
    <row r="14" spans="1:8" x14ac:dyDescent="0.2">
      <c r="A14" s="2"/>
      <c r="B14" s="2"/>
      <c r="C14" s="2"/>
      <c r="D14" s="2"/>
      <c r="E14" s="2"/>
      <c r="F14" s="2"/>
      <c r="G14" s="2"/>
      <c r="H14" s="2"/>
    </row>
    <row r="15" spans="1:8" x14ac:dyDescent="0.2">
      <c r="A15" s="2"/>
      <c r="B15" s="2"/>
      <c r="C15" s="2"/>
      <c r="D15" s="2"/>
      <c r="E15" s="2"/>
      <c r="F15" s="2"/>
      <c r="G15" s="2"/>
      <c r="H15" s="2"/>
    </row>
    <row r="16" spans="1:8" x14ac:dyDescent="0.2">
      <c r="A16" s="2"/>
      <c r="B16" s="2"/>
      <c r="C16" s="2"/>
      <c r="D16" s="2"/>
      <c r="E16" s="2"/>
      <c r="F16" s="2"/>
      <c r="G16" s="2"/>
      <c r="H16" s="2"/>
    </row>
    <row r="17" spans="1:8" x14ac:dyDescent="0.2">
      <c r="A17" s="2"/>
      <c r="B17" s="2"/>
      <c r="C17" s="2"/>
      <c r="D17" s="2"/>
      <c r="E17" s="2"/>
      <c r="F17" s="2"/>
      <c r="G17" s="2"/>
      <c r="H17" s="2"/>
    </row>
    <row r="18" spans="1:8" x14ac:dyDescent="0.2">
      <c r="A18" s="2"/>
      <c r="B18" s="2"/>
      <c r="C18" s="2"/>
      <c r="D18" s="2"/>
      <c r="E18" s="2"/>
      <c r="F18" s="2"/>
      <c r="G18" s="2"/>
      <c r="H18" s="2"/>
    </row>
    <row r="19" spans="1:8" x14ac:dyDescent="0.2">
      <c r="A19" s="2"/>
      <c r="B19" s="2"/>
      <c r="C19" s="2"/>
      <c r="D19" s="2"/>
      <c r="E19" s="2"/>
      <c r="F19" s="2"/>
      <c r="G19" s="2"/>
      <c r="H19" s="2"/>
    </row>
    <row r="20" spans="1:8" x14ac:dyDescent="0.2">
      <c r="A20" s="2"/>
      <c r="B20" s="2"/>
      <c r="C20" s="2"/>
      <c r="D20" s="2"/>
      <c r="E20" s="2"/>
      <c r="F20" s="2"/>
      <c r="G20" s="2"/>
      <c r="H20" s="2"/>
    </row>
    <row r="21" spans="1:8" x14ac:dyDescent="0.2">
      <c r="A21" s="2"/>
      <c r="B21" s="2"/>
      <c r="C21" s="2"/>
      <c r="D21" s="2"/>
      <c r="E21" s="2"/>
      <c r="F21" s="2"/>
      <c r="G21" s="2"/>
      <c r="H21" s="2"/>
    </row>
    <row r="22" spans="1:8" x14ac:dyDescent="0.2">
      <c r="A22" s="2"/>
      <c r="B22" s="2"/>
      <c r="C22" s="2"/>
      <c r="D22" s="2"/>
      <c r="E22" s="2"/>
      <c r="F22" s="2"/>
      <c r="G22" s="2"/>
      <c r="H22" s="2"/>
    </row>
    <row r="23" spans="1:8" x14ac:dyDescent="0.2">
      <c r="A23" s="2"/>
      <c r="B23" s="2"/>
      <c r="C23" s="2"/>
      <c r="D23" s="2"/>
      <c r="E23" s="2"/>
      <c r="F23" s="2"/>
      <c r="G23" s="2"/>
      <c r="H23" s="2"/>
    </row>
    <row r="24" spans="1:8" x14ac:dyDescent="0.2">
      <c r="A24" s="2"/>
      <c r="B24" s="2"/>
      <c r="C24" s="2"/>
      <c r="D24" s="2"/>
      <c r="E24" s="2"/>
      <c r="F24" s="2"/>
      <c r="G24" s="2"/>
      <c r="H24" s="2"/>
    </row>
    <row r="25" spans="1:8" x14ac:dyDescent="0.2">
      <c r="A25" s="2"/>
      <c r="B25" s="2"/>
      <c r="C25" s="2"/>
      <c r="D25" s="2"/>
      <c r="E25" s="2"/>
      <c r="F25" s="2"/>
      <c r="G25" s="2"/>
      <c r="H25" s="2"/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7"/>
  <sheetViews>
    <sheetView workbookViewId="0">
      <selection activeCell="B4" sqref="B4:C9"/>
    </sheetView>
  </sheetViews>
  <sheetFormatPr defaultColWidth="9.01171875" defaultRowHeight="15" x14ac:dyDescent="0.2"/>
  <cols>
    <col min="1" max="8" width="18.0234375" style="12" customWidth="1"/>
    <col min="9" max="16384" width="9.01171875" style="12"/>
  </cols>
  <sheetData>
    <row r="1" spans="1:8" ht="18.75" x14ac:dyDescent="0.2">
      <c r="A1" s="37" t="s">
        <v>96</v>
      </c>
      <c r="B1" s="37"/>
      <c r="C1" s="37"/>
      <c r="D1" s="37"/>
      <c r="E1" s="37"/>
      <c r="F1" s="37"/>
      <c r="G1" s="37"/>
      <c r="H1" s="37"/>
    </row>
    <row r="2" spans="1:8" x14ac:dyDescent="0.2">
      <c r="A2" s="2"/>
      <c r="B2" s="2"/>
      <c r="C2" s="2"/>
      <c r="D2" s="2"/>
      <c r="E2" s="2"/>
      <c r="F2" s="2"/>
      <c r="G2" s="2"/>
      <c r="H2" s="2"/>
    </row>
    <row r="3" spans="1:8" x14ac:dyDescent="0.2">
      <c r="A3" s="3" t="s">
        <v>97</v>
      </c>
      <c r="B3" s="3" t="s">
        <v>98</v>
      </c>
      <c r="C3" s="3" t="s">
        <v>99</v>
      </c>
      <c r="D3" s="3" t="s">
        <v>32</v>
      </c>
      <c r="E3" s="3" t="s">
        <v>35</v>
      </c>
      <c r="F3" s="3" t="s">
        <v>100</v>
      </c>
      <c r="G3" s="3" t="s">
        <v>41</v>
      </c>
      <c r="H3" s="3" t="s">
        <v>44</v>
      </c>
    </row>
    <row r="4" spans="1:8" x14ac:dyDescent="0.2">
      <c r="A4" s="2" t="s">
        <v>101</v>
      </c>
      <c r="B4" s="32">
        <v>2000</v>
      </c>
      <c r="C4" s="34">
        <v>14</v>
      </c>
      <c r="D4" s="4">
        <f t="shared" ref="D4:D9" si="0">B4*C4</f>
        <v>28000</v>
      </c>
      <c r="E4" s="4">
        <f>D4*Parâmetros!$B$4</f>
        <v>3080</v>
      </c>
      <c r="F4" s="4">
        <f>MAX(0,(MAX(0,MIN(MAX(0,D4-MAX(Parâmetros!$B$5,E4)),Escalões_IRS_2026!$C$4)-Escalões_IRS_2026!$B$4)*Escalões_IRS_2026!$D$4+MAX(0,MIN(MAX(0,D4-MAX(Parâmetros!$B$5,E4)),Escalões_IRS_2026!$C$5)-Escalões_IRS_2026!$B$5)*Escalões_IRS_2026!$D$5+MAX(0,MIN(MAX(0,D4-MAX(Parâmetros!$B$5,E4)),Escalões_IRS_2026!$C$6)-Escalões_IRS_2026!$B$6)*Escalões_IRS_2026!$D$6+MAX(0,MIN(MAX(0,D4-MAX(Parâmetros!$B$5,E4)),Escalões_IRS_2026!$C$7)-Escalões_IRS_2026!$B$7)*Escalões_IRS_2026!$D$7+MAX(0,MIN(MAX(0,D4-MAX(Parâmetros!$B$5,E4)),Escalões_IRS_2026!$C$8)-Escalões_IRS_2026!$B$8)*Escalões_IRS_2026!$D$8+MAX(0,MIN(MAX(0,D4-MAX(Parâmetros!$B$5,E4)),Escalões_IRS_2026!$C$9)-Escalões_IRS_2026!$B$9)*Escalões_IRS_2026!$D$9+MAX(0,MIN(MAX(0,D4-MAX(Parâmetros!$B$5,E4)),Escalões_IRS_2026!$C$10)-Escalões_IRS_2026!$B$10)*Escalões_IRS_2026!$D$10+MAX(0,MIN(MAX(0,D4-MAX(Parâmetros!$B$5,E4)),Escalões_IRS_2026!$C$11)-Escalões_IRS_2026!$B$11)*Escalões_IRS_2026!$D$11+MAX(0,MIN(MAX(0,D4-MAX(Parâmetros!$B$5,E4)),Escalões_IRS_2026!$C$12)-Escalões_IRS_2026!$B$12)*Escalões_IRS_2026!$D$12)-Parâmetros!$B$9-Parâmetros!$B$10)</f>
        <v>4338.8950000000004</v>
      </c>
      <c r="G4" s="4">
        <f t="shared" ref="G4:G9" si="1">D4-E4-F4</f>
        <v>20581.105</v>
      </c>
      <c r="H4" s="4">
        <f t="shared" ref="H4:H9" si="2">G4/C4</f>
        <v>1470.0789285714286</v>
      </c>
    </row>
    <row r="5" spans="1:8" x14ac:dyDescent="0.2">
      <c r="A5" s="2" t="s">
        <v>102</v>
      </c>
      <c r="B5" s="32">
        <v>3000</v>
      </c>
      <c r="C5" s="34">
        <v>14</v>
      </c>
      <c r="D5" s="4">
        <f t="shared" si="0"/>
        <v>42000</v>
      </c>
      <c r="E5" s="4">
        <f>D5*Parâmetros!$B$4</f>
        <v>4620</v>
      </c>
      <c r="F5" s="4">
        <f>MAX(0,(MAX(0,MIN(MAX(0,D5-MAX(Parâmetros!$B$5,E5)),Escalões_IRS_2026!$C$4)-Escalões_IRS_2026!$B$4)*Escalões_IRS_2026!$D$4+MAX(0,MIN(MAX(0,D5-MAX(Parâmetros!$B$5,E5)),Escalões_IRS_2026!$C$5)-Escalões_IRS_2026!$B$5)*Escalões_IRS_2026!$D$5+MAX(0,MIN(MAX(0,D5-MAX(Parâmetros!$B$5,E5)),Escalões_IRS_2026!$C$6)-Escalões_IRS_2026!$B$6)*Escalões_IRS_2026!$D$6+MAX(0,MIN(MAX(0,D5-MAX(Parâmetros!$B$5,E5)),Escalões_IRS_2026!$C$7)-Escalões_IRS_2026!$B$7)*Escalões_IRS_2026!$D$7+MAX(0,MIN(MAX(0,D5-MAX(Parâmetros!$B$5,E5)),Escalões_IRS_2026!$C$8)-Escalões_IRS_2026!$B$8)*Escalões_IRS_2026!$D$8+MAX(0,MIN(MAX(0,D5-MAX(Parâmetros!$B$5,E5)),Escalões_IRS_2026!$C$9)-Escalões_IRS_2026!$B$9)*Escalões_IRS_2026!$D$9+MAX(0,MIN(MAX(0,D5-MAX(Parâmetros!$B$5,E5)),Escalões_IRS_2026!$C$10)-Escalões_IRS_2026!$B$10)*Escalões_IRS_2026!$D$10+MAX(0,MIN(MAX(0,D5-MAX(Parâmetros!$B$5,E5)),Escalões_IRS_2026!$C$11)-Escalões_IRS_2026!$B$11)*Escalões_IRS_2026!$D$11+MAX(0,MIN(MAX(0,D5-MAX(Parâmetros!$B$5,E5)),Escalões_IRS_2026!$C$12)-Escalões_IRS_2026!$B$12)*Escalões_IRS_2026!$D$12)-Parâmetros!$B$9-Parâmetros!$B$10)</f>
        <v>8835.773000000001</v>
      </c>
      <c r="G5" s="4">
        <f t="shared" si="1"/>
        <v>28544.226999999999</v>
      </c>
      <c r="H5" s="4">
        <f t="shared" si="2"/>
        <v>2038.873357142857</v>
      </c>
    </row>
    <row r="6" spans="1:8" x14ac:dyDescent="0.2">
      <c r="A6" s="2" t="s">
        <v>103</v>
      </c>
      <c r="B6" s="32">
        <v>4000</v>
      </c>
      <c r="C6" s="34">
        <v>14</v>
      </c>
      <c r="D6" s="4">
        <f t="shared" si="0"/>
        <v>56000</v>
      </c>
      <c r="E6" s="4">
        <f>D6*Parâmetros!$B$4</f>
        <v>6160</v>
      </c>
      <c r="F6" s="4">
        <f>MAX(0,(MAX(0,MIN(MAX(0,D6-MAX(Parâmetros!$B$5,E6)),Escalões_IRS_2026!$C$4)-Escalões_IRS_2026!$B$4)*Escalões_IRS_2026!$D$4+MAX(0,MIN(MAX(0,D6-MAX(Parâmetros!$B$5,E6)),Escalões_IRS_2026!$C$5)-Escalões_IRS_2026!$B$5)*Escalões_IRS_2026!$D$5+MAX(0,MIN(MAX(0,D6-MAX(Parâmetros!$B$5,E6)),Escalões_IRS_2026!$C$6)-Escalões_IRS_2026!$B$6)*Escalões_IRS_2026!$D$6+MAX(0,MIN(MAX(0,D6-MAX(Parâmetros!$B$5,E6)),Escalões_IRS_2026!$C$7)-Escalões_IRS_2026!$B$7)*Escalões_IRS_2026!$D$7+MAX(0,MIN(MAX(0,D6-MAX(Parâmetros!$B$5,E6)),Escalões_IRS_2026!$C$8)-Escalões_IRS_2026!$B$8)*Escalões_IRS_2026!$D$8+MAX(0,MIN(MAX(0,D6-MAX(Parâmetros!$B$5,E6)),Escalões_IRS_2026!$C$9)-Escalões_IRS_2026!$B$9)*Escalões_IRS_2026!$D$9+MAX(0,MIN(MAX(0,D6-MAX(Parâmetros!$B$5,E6)),Escalões_IRS_2026!$C$10)-Escalões_IRS_2026!$B$10)*Escalões_IRS_2026!$D$10+MAX(0,MIN(MAX(0,D6-MAX(Parâmetros!$B$5,E6)),Escalões_IRS_2026!$C$11)-Escalões_IRS_2026!$B$11)*Escalões_IRS_2026!$D$11+MAX(0,MIN(MAX(0,D6-MAX(Parâmetros!$B$5,E6)),Escalões_IRS_2026!$C$12)-Escalões_IRS_2026!$B$12)*Escalões_IRS_2026!$D$12)-Parâmetros!$B$9-Parâmetros!$B$10)</f>
        <v>13786.923000000001</v>
      </c>
      <c r="G6" s="4">
        <f t="shared" si="1"/>
        <v>36053.076999999997</v>
      </c>
      <c r="H6" s="4">
        <f t="shared" si="2"/>
        <v>2575.2197857142855</v>
      </c>
    </row>
    <row r="7" spans="1:8" x14ac:dyDescent="0.2">
      <c r="A7" s="2" t="s">
        <v>104</v>
      </c>
      <c r="B7" s="32">
        <v>5000</v>
      </c>
      <c r="C7" s="34">
        <v>14</v>
      </c>
      <c r="D7" s="4">
        <f t="shared" si="0"/>
        <v>70000</v>
      </c>
      <c r="E7" s="4">
        <f>D7*Parâmetros!$B$4</f>
        <v>7700</v>
      </c>
      <c r="F7" s="4">
        <f>MAX(0,(MAX(0,MIN(MAX(0,D7-MAX(Parâmetros!$B$5,E7)),Escalões_IRS_2026!$C$4)-Escalões_IRS_2026!$B$4)*Escalões_IRS_2026!$D$4+MAX(0,MIN(MAX(0,D7-MAX(Parâmetros!$B$5,E7)),Escalões_IRS_2026!$C$5)-Escalões_IRS_2026!$B$5)*Escalões_IRS_2026!$D$5+MAX(0,MIN(MAX(0,D7-MAX(Parâmetros!$B$5,E7)),Escalões_IRS_2026!$C$6)-Escalões_IRS_2026!$B$6)*Escalões_IRS_2026!$D$6+MAX(0,MIN(MAX(0,D7-MAX(Parâmetros!$B$5,E7)),Escalões_IRS_2026!$C$7)-Escalões_IRS_2026!$B$7)*Escalões_IRS_2026!$D$7+MAX(0,MIN(MAX(0,D7-MAX(Parâmetros!$B$5,E7)),Escalões_IRS_2026!$C$8)-Escalões_IRS_2026!$B$8)*Escalões_IRS_2026!$D$8+MAX(0,MIN(MAX(0,D7-MAX(Parâmetros!$B$5,E7)),Escalões_IRS_2026!$C$9)-Escalões_IRS_2026!$B$9)*Escalões_IRS_2026!$D$9+MAX(0,MIN(MAX(0,D7-MAX(Parâmetros!$B$5,E7)),Escalões_IRS_2026!$C$10)-Escalões_IRS_2026!$B$10)*Escalões_IRS_2026!$D$10+MAX(0,MIN(MAX(0,D7-MAX(Parâmetros!$B$5,E7)),Escalões_IRS_2026!$C$11)-Escalões_IRS_2026!$B$11)*Escalões_IRS_2026!$D$11+MAX(0,MIN(MAX(0,D7-MAX(Parâmetros!$B$5,E7)),Escalões_IRS_2026!$C$12)-Escalões_IRS_2026!$B$12)*Escalões_IRS_2026!$D$12)-Parâmetros!$B$9-Parâmetros!$B$10)</f>
        <v>19344.083000000002</v>
      </c>
      <c r="G7" s="4">
        <f t="shared" si="1"/>
        <v>42955.917000000001</v>
      </c>
      <c r="H7" s="4">
        <f t="shared" si="2"/>
        <v>3068.2797857142859</v>
      </c>
    </row>
    <row r="8" spans="1:8" x14ac:dyDescent="0.2">
      <c r="A8" s="2" t="s">
        <v>105</v>
      </c>
      <c r="B8" s="32">
        <v>6000</v>
      </c>
      <c r="C8" s="34">
        <v>14</v>
      </c>
      <c r="D8" s="4">
        <f t="shared" si="0"/>
        <v>84000</v>
      </c>
      <c r="E8" s="4">
        <f>D8*Parâmetros!$B$4</f>
        <v>9240</v>
      </c>
      <c r="F8" s="4">
        <f>MAX(0,(MAX(0,MIN(MAX(0,D8-MAX(Parâmetros!$B$5,E8)),Escalões_IRS_2026!$C$4)-Escalões_IRS_2026!$B$4)*Escalões_IRS_2026!$D$4+MAX(0,MIN(MAX(0,D8-MAX(Parâmetros!$B$5,E8)),Escalões_IRS_2026!$C$5)-Escalões_IRS_2026!$B$5)*Escalões_IRS_2026!$D$5+MAX(0,MIN(MAX(0,D8-MAX(Parâmetros!$B$5,E8)),Escalões_IRS_2026!$C$6)-Escalões_IRS_2026!$B$6)*Escalões_IRS_2026!$D$6+MAX(0,MIN(MAX(0,D8-MAX(Parâmetros!$B$5,E8)),Escalões_IRS_2026!$C$7)-Escalões_IRS_2026!$B$7)*Escalões_IRS_2026!$D$7+MAX(0,MIN(MAX(0,D8-MAX(Parâmetros!$B$5,E8)),Escalões_IRS_2026!$C$8)-Escalões_IRS_2026!$B$8)*Escalões_IRS_2026!$D$8+MAX(0,MIN(MAX(0,D8-MAX(Parâmetros!$B$5,E8)),Escalões_IRS_2026!$C$9)-Escalões_IRS_2026!$B$9)*Escalões_IRS_2026!$D$9+MAX(0,MIN(MAX(0,D8-MAX(Parâmetros!$B$5,E8)),Escalões_IRS_2026!$C$10)-Escalões_IRS_2026!$B$10)*Escalões_IRS_2026!$D$10+MAX(0,MIN(MAX(0,D8-MAX(Parâmetros!$B$5,E8)),Escalões_IRS_2026!$C$11)-Escalões_IRS_2026!$B$11)*Escalões_IRS_2026!$D$11+MAX(0,MIN(MAX(0,D8-MAX(Parâmetros!$B$5,E8)),Escalões_IRS_2026!$C$12)-Escalões_IRS_2026!$B$12)*Escalões_IRS_2026!$D$12)-Parâmetros!$B$9-Parâmetros!$B$10)</f>
        <v>24901.243000000002</v>
      </c>
      <c r="G8" s="4">
        <f t="shared" si="1"/>
        <v>49858.756999999998</v>
      </c>
      <c r="H8" s="4">
        <f t="shared" si="2"/>
        <v>3561.3397857142854</v>
      </c>
    </row>
    <row r="9" spans="1:8" x14ac:dyDescent="0.2">
      <c r="A9" s="2" t="s">
        <v>106</v>
      </c>
      <c r="B9" s="32">
        <v>7000</v>
      </c>
      <c r="C9" s="34">
        <v>14</v>
      </c>
      <c r="D9" s="4">
        <f t="shared" si="0"/>
        <v>98000</v>
      </c>
      <c r="E9" s="4">
        <f>D9*Parâmetros!$B$4</f>
        <v>10780</v>
      </c>
      <c r="F9" s="4">
        <f>MAX(0,(MAX(0,MIN(MAX(0,D9-MAX(Parâmetros!$B$5,E9)),Escalões_IRS_2026!$C$4)-Escalões_IRS_2026!$B$4)*Escalões_IRS_2026!$D$4+MAX(0,MIN(MAX(0,D9-MAX(Parâmetros!$B$5,E9)),Escalões_IRS_2026!$C$5)-Escalões_IRS_2026!$B$5)*Escalões_IRS_2026!$D$5+MAX(0,MIN(MAX(0,D9-MAX(Parâmetros!$B$5,E9)),Escalões_IRS_2026!$C$6)-Escalões_IRS_2026!$B$6)*Escalões_IRS_2026!$D$6+MAX(0,MIN(MAX(0,D9-MAX(Parâmetros!$B$5,E9)),Escalões_IRS_2026!$C$7)-Escalões_IRS_2026!$B$7)*Escalões_IRS_2026!$D$7+MAX(0,MIN(MAX(0,D9-MAX(Parâmetros!$B$5,E9)),Escalões_IRS_2026!$C$8)-Escalões_IRS_2026!$B$8)*Escalões_IRS_2026!$D$8+MAX(0,MIN(MAX(0,D9-MAX(Parâmetros!$B$5,E9)),Escalões_IRS_2026!$C$9)-Escalões_IRS_2026!$B$9)*Escalões_IRS_2026!$D$9+MAX(0,MIN(MAX(0,D9-MAX(Parâmetros!$B$5,E9)),Escalões_IRS_2026!$C$10)-Escalões_IRS_2026!$B$10)*Escalões_IRS_2026!$D$10+MAX(0,MIN(MAX(0,D9-MAX(Parâmetros!$B$5,E9)),Escalões_IRS_2026!$C$11)-Escalões_IRS_2026!$B$11)*Escalões_IRS_2026!$D$11+MAX(0,MIN(MAX(0,D9-MAX(Parâmetros!$B$5,E9)),Escalões_IRS_2026!$C$12)-Escalões_IRS_2026!$B$12)*Escalões_IRS_2026!$D$12)-Parâmetros!$B$9-Parâmetros!$B$10)</f>
        <v>30478.327000000001</v>
      </c>
      <c r="G9" s="4">
        <f t="shared" si="1"/>
        <v>56741.672999999995</v>
      </c>
      <c r="H9" s="4">
        <f t="shared" si="2"/>
        <v>4052.9766428571425</v>
      </c>
    </row>
    <row r="10" spans="1:8" x14ac:dyDescent="0.2">
      <c r="A10" s="2"/>
      <c r="B10" s="2"/>
      <c r="C10" s="2"/>
      <c r="D10" s="2"/>
      <c r="E10" s="2"/>
      <c r="F10" s="2"/>
      <c r="G10" s="2"/>
      <c r="H10" s="2"/>
    </row>
    <row r="11" spans="1:8" x14ac:dyDescent="0.2">
      <c r="A11" s="2"/>
      <c r="B11" s="2"/>
      <c r="C11" s="2"/>
      <c r="D11" s="2"/>
      <c r="E11" s="2"/>
      <c r="F11" s="2"/>
      <c r="G11" s="2"/>
      <c r="H11" s="2"/>
    </row>
    <row r="12" spans="1:8" x14ac:dyDescent="0.2">
      <c r="A12" s="2"/>
      <c r="B12" s="2"/>
      <c r="C12" s="2"/>
      <c r="D12" s="2"/>
      <c r="E12" s="2"/>
      <c r="F12" s="2"/>
      <c r="G12" s="2"/>
      <c r="H12" s="2"/>
    </row>
    <row r="13" spans="1:8" x14ac:dyDescent="0.2">
      <c r="A13" s="2"/>
      <c r="B13" s="2"/>
      <c r="C13" s="2"/>
      <c r="D13" s="2"/>
      <c r="E13" s="2"/>
      <c r="F13" s="2"/>
      <c r="G13" s="2"/>
      <c r="H13" s="2"/>
    </row>
    <row r="14" spans="1:8" x14ac:dyDescent="0.2">
      <c r="A14" s="2"/>
      <c r="B14" s="2"/>
      <c r="C14" s="2"/>
      <c r="D14" s="2"/>
      <c r="E14" s="2"/>
      <c r="F14" s="2"/>
      <c r="G14" s="2"/>
      <c r="H14" s="2"/>
    </row>
    <row r="15" spans="1:8" x14ac:dyDescent="0.2">
      <c r="A15" s="2"/>
      <c r="B15" s="2"/>
      <c r="C15" s="2"/>
      <c r="D15" s="2"/>
      <c r="E15" s="2"/>
      <c r="F15" s="2"/>
      <c r="G15" s="2"/>
      <c r="H15" s="2"/>
    </row>
    <row r="16" spans="1:8" x14ac:dyDescent="0.2">
      <c r="A16" s="2"/>
      <c r="B16" s="2"/>
      <c r="C16" s="2"/>
      <c r="D16" s="2"/>
      <c r="E16" s="2"/>
      <c r="F16" s="2"/>
      <c r="G16" s="2"/>
      <c r="H16" s="2"/>
    </row>
    <row r="17" spans="1:8" x14ac:dyDescent="0.2">
      <c r="A17" s="2"/>
      <c r="B17" s="2"/>
      <c r="C17" s="2"/>
      <c r="D17" s="2"/>
      <c r="E17" s="2"/>
      <c r="F17" s="2"/>
      <c r="G17" s="2"/>
      <c r="H17" s="2"/>
    </row>
    <row r="18" spans="1:8" x14ac:dyDescent="0.2">
      <c r="A18" s="2"/>
      <c r="B18" s="2"/>
      <c r="C18" s="2"/>
      <c r="D18" s="2"/>
      <c r="E18" s="2"/>
      <c r="F18" s="2"/>
      <c r="G18" s="2"/>
      <c r="H18" s="2"/>
    </row>
    <row r="19" spans="1:8" x14ac:dyDescent="0.2">
      <c r="A19" s="2"/>
      <c r="B19" s="2"/>
      <c r="C19" s="2"/>
      <c r="D19" s="2"/>
      <c r="E19" s="2"/>
      <c r="F19" s="2"/>
      <c r="G19" s="2"/>
      <c r="H19" s="2"/>
    </row>
    <row r="20" spans="1:8" x14ac:dyDescent="0.2">
      <c r="A20" s="2"/>
      <c r="B20" s="2"/>
      <c r="C20" s="2"/>
      <c r="D20" s="2"/>
      <c r="E20" s="2"/>
      <c r="F20" s="2"/>
      <c r="G20" s="2"/>
      <c r="H20" s="2"/>
    </row>
    <row r="21" spans="1:8" x14ac:dyDescent="0.2">
      <c r="A21" s="2"/>
      <c r="B21" s="2"/>
      <c r="C21" s="2"/>
      <c r="D21" s="2"/>
      <c r="E21" s="2"/>
      <c r="F21" s="2"/>
      <c r="G21" s="2"/>
      <c r="H21" s="2"/>
    </row>
    <row r="22" spans="1:8" x14ac:dyDescent="0.2">
      <c r="A22" s="2"/>
      <c r="B22" s="2"/>
      <c r="C22" s="2"/>
      <c r="D22" s="2"/>
      <c r="E22" s="2"/>
      <c r="F22" s="2"/>
      <c r="G22" s="2"/>
      <c r="H22" s="2"/>
    </row>
    <row r="23" spans="1:8" x14ac:dyDescent="0.2">
      <c r="A23" s="2"/>
      <c r="B23" s="2"/>
      <c r="C23" s="2"/>
      <c r="D23" s="2"/>
      <c r="E23" s="2"/>
      <c r="F23" s="2"/>
      <c r="G23" s="2"/>
      <c r="H23" s="2"/>
    </row>
    <row r="24" spans="1:8" x14ac:dyDescent="0.2">
      <c r="A24" s="2"/>
      <c r="B24" s="2"/>
      <c r="C24" s="2"/>
      <c r="D24" s="2"/>
      <c r="E24" s="2"/>
      <c r="F24" s="2"/>
      <c r="G24" s="2"/>
      <c r="H24" s="2"/>
    </row>
    <row r="25" spans="1:8" x14ac:dyDescent="0.2">
      <c r="A25" s="2"/>
      <c r="B25" s="2"/>
      <c r="C25" s="2"/>
      <c r="D25" s="2"/>
      <c r="E25" s="2"/>
      <c r="F25" s="2"/>
      <c r="G25" s="2"/>
      <c r="H25" s="2"/>
    </row>
    <row r="26" spans="1:8" x14ac:dyDescent="0.2">
      <c r="A26"/>
      <c r="B26"/>
      <c r="C26"/>
      <c r="D26"/>
      <c r="E26"/>
      <c r="F26"/>
      <c r="G26"/>
      <c r="H26"/>
    </row>
    <row r="27" spans="1:8" x14ac:dyDescent="0.2">
      <c r="A27"/>
      <c r="B27"/>
      <c r="C27"/>
      <c r="D27"/>
      <c r="E27"/>
      <c r="F27"/>
      <c r="G27"/>
      <c r="H27"/>
    </row>
  </sheetData>
  <mergeCells count="1">
    <mergeCell ref="A1:H1"/>
  </mergeCells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5"/>
  <sheetViews>
    <sheetView workbookViewId="0">
      <selection sqref="A1:E1"/>
    </sheetView>
  </sheetViews>
  <sheetFormatPr defaultRowHeight="15" x14ac:dyDescent="0.2"/>
  <cols>
    <col min="1" max="4" width="27.98046875" customWidth="1"/>
  </cols>
  <sheetData>
    <row r="1" spans="1:8" ht="18.75" x14ac:dyDescent="0.2">
      <c r="A1" s="37" t="s">
        <v>107</v>
      </c>
      <c r="B1" s="37"/>
      <c r="C1" s="37"/>
      <c r="D1" s="37"/>
      <c r="E1" s="2"/>
      <c r="F1" s="2"/>
      <c r="G1" s="2"/>
      <c r="H1" s="2"/>
    </row>
    <row r="2" spans="1:8" x14ac:dyDescent="0.2">
      <c r="A2" s="2"/>
      <c r="B2" s="2"/>
      <c r="C2" s="2"/>
      <c r="D2" s="2"/>
      <c r="E2" s="2"/>
      <c r="F2" s="2"/>
      <c r="G2" s="2"/>
      <c r="H2" s="2"/>
    </row>
    <row r="3" spans="1:8" x14ac:dyDescent="0.2">
      <c r="A3" s="3" t="s">
        <v>108</v>
      </c>
      <c r="B3" s="3" t="s">
        <v>109</v>
      </c>
      <c r="C3" s="3" t="s">
        <v>110</v>
      </c>
      <c r="D3" s="3" t="s">
        <v>28</v>
      </c>
      <c r="E3" s="2"/>
      <c r="F3" s="2"/>
      <c r="G3" s="2"/>
      <c r="H3" s="2"/>
    </row>
    <row r="4" spans="1:8" ht="54.75" x14ac:dyDescent="0.2">
      <c r="A4" s="2" t="s">
        <v>111</v>
      </c>
      <c r="B4" s="2" t="s">
        <v>112</v>
      </c>
      <c r="C4" s="2" t="s">
        <v>113</v>
      </c>
      <c r="D4" s="2" t="s">
        <v>114</v>
      </c>
      <c r="E4" s="2"/>
      <c r="F4" s="2"/>
      <c r="G4" s="2"/>
      <c r="H4" s="2"/>
    </row>
    <row r="5" spans="1:8" ht="68.25" x14ac:dyDescent="0.2">
      <c r="A5" s="2" t="s">
        <v>115</v>
      </c>
      <c r="B5" s="2" t="s">
        <v>116</v>
      </c>
      <c r="C5" s="2" t="s">
        <v>117</v>
      </c>
      <c r="D5" s="2" t="s">
        <v>118</v>
      </c>
      <c r="E5" s="2"/>
      <c r="F5" s="2"/>
      <c r="G5" s="2"/>
      <c r="H5" s="2"/>
    </row>
    <row r="6" spans="1:8" ht="27.75" x14ac:dyDescent="0.2">
      <c r="A6" s="2" t="s">
        <v>119</v>
      </c>
      <c r="B6" s="2" t="s">
        <v>120</v>
      </c>
      <c r="C6" s="2" t="s">
        <v>121</v>
      </c>
      <c r="D6" s="2" t="s">
        <v>122</v>
      </c>
      <c r="E6" s="2"/>
      <c r="F6" s="2"/>
      <c r="G6" s="2"/>
      <c r="H6" s="2"/>
    </row>
    <row r="7" spans="1:8" ht="81" x14ac:dyDescent="0.2">
      <c r="A7" s="2" t="s">
        <v>123</v>
      </c>
      <c r="B7" s="2" t="s">
        <v>124</v>
      </c>
      <c r="C7" s="2" t="s">
        <v>125</v>
      </c>
      <c r="D7" s="2" t="s">
        <v>126</v>
      </c>
      <c r="E7" s="2"/>
      <c r="F7" s="2"/>
      <c r="G7" s="2"/>
      <c r="H7" s="2"/>
    </row>
    <row r="8" spans="1:8" ht="41.25" x14ac:dyDescent="0.2">
      <c r="A8" s="2" t="s">
        <v>127</v>
      </c>
      <c r="B8" s="2" t="s">
        <v>128</v>
      </c>
      <c r="C8" s="2"/>
      <c r="D8" s="2" t="s">
        <v>129</v>
      </c>
      <c r="E8" s="2"/>
      <c r="F8" s="2"/>
      <c r="G8" s="2"/>
      <c r="H8" s="2"/>
    </row>
    <row r="9" spans="1:8" x14ac:dyDescent="0.2">
      <c r="A9" s="2" t="s">
        <v>130</v>
      </c>
      <c r="B9" s="2" t="s">
        <v>131</v>
      </c>
      <c r="C9" s="2"/>
      <c r="D9" s="2" t="s">
        <v>132</v>
      </c>
      <c r="E9" s="2"/>
      <c r="F9" s="2"/>
      <c r="G9" s="2"/>
      <c r="H9" s="2"/>
    </row>
    <row r="10" spans="1:8" x14ac:dyDescent="0.2">
      <c r="A10" s="2"/>
      <c r="B10" s="2"/>
      <c r="C10" s="2"/>
      <c r="D10" s="2"/>
      <c r="E10" s="2"/>
      <c r="F10" s="2"/>
      <c r="G10" s="2"/>
      <c r="H10" s="2"/>
    </row>
    <row r="11" spans="1:8" ht="41.25" x14ac:dyDescent="0.2">
      <c r="A11" s="2" t="s">
        <v>133</v>
      </c>
      <c r="B11" s="2" t="s">
        <v>134</v>
      </c>
      <c r="C11" s="2" t="s">
        <v>135</v>
      </c>
      <c r="D11" s="2" t="s">
        <v>136</v>
      </c>
      <c r="E11" s="2"/>
      <c r="F11" s="2"/>
      <c r="G11" s="2"/>
      <c r="H11" s="2"/>
    </row>
    <row r="12" spans="1:8" ht="68.25" x14ac:dyDescent="0.2">
      <c r="A12" s="2" t="s">
        <v>137</v>
      </c>
      <c r="B12" s="2" t="s">
        <v>138</v>
      </c>
      <c r="C12" s="2" t="s">
        <v>139</v>
      </c>
      <c r="D12" s="2" t="s">
        <v>136</v>
      </c>
      <c r="E12" s="2"/>
      <c r="F12" s="2"/>
      <c r="G12" s="2"/>
      <c r="H12" s="2"/>
    </row>
    <row r="13" spans="1:8" ht="68.25" x14ac:dyDescent="0.2">
      <c r="A13" s="2" t="s">
        <v>140</v>
      </c>
      <c r="B13" s="2" t="s">
        <v>141</v>
      </c>
      <c r="C13" s="2" t="s">
        <v>142</v>
      </c>
      <c r="D13" s="2" t="s">
        <v>136</v>
      </c>
      <c r="E13" s="2"/>
      <c r="F13" s="2"/>
      <c r="G13" s="2"/>
      <c r="H13" s="2"/>
    </row>
    <row r="14" spans="1:8" ht="68.25" x14ac:dyDescent="0.2">
      <c r="A14" s="2" t="s">
        <v>143</v>
      </c>
      <c r="B14" s="2" t="s">
        <v>144</v>
      </c>
      <c r="C14" s="2" t="s">
        <v>145</v>
      </c>
      <c r="D14" s="2" t="s">
        <v>146</v>
      </c>
      <c r="E14" s="2"/>
      <c r="F14" s="2"/>
      <c r="G14" s="2"/>
      <c r="H14" s="2"/>
    </row>
    <row r="15" spans="1:8" ht="41.25" x14ac:dyDescent="0.2">
      <c r="A15" s="2" t="s">
        <v>147</v>
      </c>
      <c r="B15" s="2" t="s">
        <v>148</v>
      </c>
      <c r="C15" s="2" t="s">
        <v>149</v>
      </c>
      <c r="D15" s="2" t="s">
        <v>150</v>
      </c>
      <c r="E15" s="2"/>
      <c r="F15" s="2"/>
      <c r="G15" s="2"/>
      <c r="H15" s="2"/>
    </row>
    <row r="16" spans="1:8" x14ac:dyDescent="0.2">
      <c r="A16" s="2"/>
      <c r="B16" s="2"/>
      <c r="C16" s="2"/>
      <c r="D16" s="2"/>
      <c r="E16" s="2"/>
      <c r="F16" s="2"/>
      <c r="G16" s="2"/>
      <c r="H16" s="2"/>
    </row>
    <row r="17" spans="1:8" x14ac:dyDescent="0.2">
      <c r="A17" s="2"/>
      <c r="B17" s="2"/>
      <c r="C17" s="2"/>
      <c r="D17" s="2"/>
      <c r="E17" s="2"/>
      <c r="F17" s="2"/>
      <c r="G17" s="2"/>
      <c r="H17" s="2"/>
    </row>
    <row r="18" spans="1:8" x14ac:dyDescent="0.2">
      <c r="A18" s="2"/>
      <c r="B18" s="2"/>
      <c r="C18" s="2"/>
      <c r="D18" s="2"/>
      <c r="E18" s="2"/>
      <c r="F18" s="2"/>
      <c r="G18" s="2"/>
      <c r="H18" s="2"/>
    </row>
    <row r="19" spans="1:8" x14ac:dyDescent="0.2">
      <c r="A19" s="2"/>
      <c r="B19" s="2"/>
      <c r="C19" s="2"/>
      <c r="D19" s="2"/>
      <c r="E19" s="2"/>
      <c r="F19" s="2"/>
      <c r="G19" s="2"/>
      <c r="H19" s="2"/>
    </row>
    <row r="20" spans="1:8" x14ac:dyDescent="0.2">
      <c r="A20" s="2"/>
      <c r="B20" s="2"/>
      <c r="C20" s="2"/>
      <c r="D20" s="2"/>
      <c r="E20" s="2"/>
      <c r="F20" s="2"/>
      <c r="G20" s="2"/>
      <c r="H20" s="2"/>
    </row>
    <row r="21" spans="1:8" x14ac:dyDescent="0.2">
      <c r="A21" s="2"/>
      <c r="B21" s="2"/>
      <c r="C21" s="2"/>
      <c r="D21" s="2"/>
      <c r="E21" s="2"/>
      <c r="F21" s="2"/>
      <c r="G21" s="2"/>
      <c r="H21" s="2"/>
    </row>
    <row r="22" spans="1:8" x14ac:dyDescent="0.2">
      <c r="A22" s="2"/>
      <c r="B22" s="2"/>
      <c r="C22" s="2"/>
      <c r="D22" s="2"/>
      <c r="E22" s="2"/>
      <c r="F22" s="2"/>
      <c r="G22" s="2"/>
      <c r="H22" s="2"/>
    </row>
    <row r="23" spans="1:8" x14ac:dyDescent="0.2">
      <c r="A23" s="2"/>
      <c r="B23" s="2"/>
      <c r="C23" s="2"/>
      <c r="D23" s="2"/>
      <c r="E23" s="2"/>
      <c r="F23" s="2"/>
      <c r="G23" s="2"/>
      <c r="H23" s="2"/>
    </row>
    <row r="24" spans="1:8" x14ac:dyDescent="0.2">
      <c r="A24" s="2"/>
      <c r="B24" s="2"/>
      <c r="C24" s="2"/>
      <c r="D24" s="2"/>
      <c r="E24" s="2"/>
      <c r="F24" s="2"/>
      <c r="G24" s="2"/>
      <c r="H24" s="2"/>
    </row>
    <row r="25" spans="1:8" x14ac:dyDescent="0.2">
      <c r="A25" s="2"/>
      <c r="B25" s="2"/>
      <c r="C25" s="2"/>
      <c r="D25" s="2"/>
      <c r="E25" s="2"/>
      <c r="F25" s="2"/>
      <c r="G25" s="2"/>
      <c r="H25" s="2"/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42"/>
  <sheetViews>
    <sheetView tabSelected="1" topLeftCell="E1" workbookViewId="0">
      <selection activeCell="B6" sqref="B6"/>
    </sheetView>
  </sheetViews>
  <sheetFormatPr defaultColWidth="9.01171875" defaultRowHeight="15" x14ac:dyDescent="0.2"/>
  <cols>
    <col min="1" max="1" width="27.98046875" style="12" customWidth="1"/>
    <col min="2" max="2" width="16.0078125" style="12" customWidth="1"/>
    <col min="3" max="3" width="41.96875" style="12" customWidth="1"/>
    <col min="4" max="4" width="16.0078125" style="12" customWidth="1"/>
    <col min="5" max="5" width="25.9609375" style="12" customWidth="1"/>
    <col min="6" max="8" width="18.0234375" style="12" customWidth="1"/>
    <col min="9" max="16384" width="9.01171875" style="12"/>
  </cols>
  <sheetData>
    <row r="1" spans="1:8" ht="27.95" customHeight="1" x14ac:dyDescent="0.2">
      <c r="A1" s="39" t="s">
        <v>151</v>
      </c>
      <c r="B1" s="39"/>
      <c r="C1" s="39"/>
      <c r="D1" s="39"/>
      <c r="E1" s="39"/>
      <c r="F1" s="39"/>
      <c r="G1" s="39"/>
      <c r="H1" s="39"/>
    </row>
    <row r="2" spans="1:8" x14ac:dyDescent="0.2">
      <c r="A2"/>
      <c r="B2"/>
      <c r="C2"/>
      <c r="E2"/>
      <c r="F2"/>
      <c r="G2"/>
      <c r="H2"/>
    </row>
    <row r="3" spans="1:8" x14ac:dyDescent="0.2">
      <c r="A3" s="27" t="s">
        <v>152</v>
      </c>
      <c r="B3" s="27" t="s">
        <v>2</v>
      </c>
      <c r="C3" s="27" t="s">
        <v>28</v>
      </c>
      <c r="E3" s="8" t="s">
        <v>153</v>
      </c>
      <c r="F3" s="8" t="s">
        <v>154</v>
      </c>
      <c r="G3" s="8" t="s">
        <v>155</v>
      </c>
      <c r="H3" s="8" t="s">
        <v>156</v>
      </c>
    </row>
    <row r="4" spans="1:8" x14ac:dyDescent="0.2">
      <c r="A4" s="28" t="s">
        <v>157</v>
      </c>
      <c r="B4" s="29">
        <v>250</v>
      </c>
      <c r="C4" s="14" t="s">
        <v>158</v>
      </c>
      <c r="E4" s="9" t="s">
        <v>159</v>
      </c>
      <c r="F4" s="10">
        <f>Simulador!B4</f>
        <v>42000</v>
      </c>
      <c r="G4" s="10">
        <f>B18</f>
        <v>60000</v>
      </c>
      <c r="H4" s="10">
        <f t="shared" ref="H4:H9" si="0">G4-F4</f>
        <v>18000</v>
      </c>
    </row>
    <row r="5" spans="1:8" x14ac:dyDescent="0.2">
      <c r="A5" s="28" t="s">
        <v>160</v>
      </c>
      <c r="B5" s="30">
        <v>20</v>
      </c>
      <c r="C5" s="14" t="s">
        <v>161</v>
      </c>
      <c r="E5" s="9" t="s">
        <v>45</v>
      </c>
      <c r="F5" s="10">
        <f>Simulador!B9</f>
        <v>4620</v>
      </c>
      <c r="G5" s="10">
        <f>B21</f>
        <v>8988</v>
      </c>
      <c r="H5" s="10">
        <f t="shared" si="0"/>
        <v>4368</v>
      </c>
    </row>
    <row r="6" spans="1:8" x14ac:dyDescent="0.2">
      <c r="A6" s="28" t="s">
        <v>162</v>
      </c>
      <c r="B6" s="30">
        <v>12</v>
      </c>
      <c r="C6" s="14" t="s">
        <v>163</v>
      </c>
      <c r="E6" s="9" t="s">
        <v>164</v>
      </c>
      <c r="F6" s="10">
        <f>Simulador!B16</f>
        <v>8835.773000000001</v>
      </c>
      <c r="G6" s="10">
        <f>B23</f>
        <v>11651.773000000001</v>
      </c>
      <c r="H6" s="10">
        <f t="shared" si="0"/>
        <v>2816</v>
      </c>
    </row>
    <row r="7" spans="1:8" ht="27.75" x14ac:dyDescent="0.2">
      <c r="A7" s="28" t="s">
        <v>165</v>
      </c>
      <c r="B7" s="16">
        <v>0.75</v>
      </c>
      <c r="C7" s="14" t="s">
        <v>166</v>
      </c>
      <c r="E7" s="9" t="s">
        <v>41</v>
      </c>
      <c r="F7" s="10">
        <f>Simulador!B17</f>
        <v>30744.226999999999</v>
      </c>
      <c r="G7" s="10">
        <f>B26</f>
        <v>39360.226999999999</v>
      </c>
      <c r="H7" s="10">
        <f t="shared" si="0"/>
        <v>8616</v>
      </c>
    </row>
    <row r="8" spans="1:8" ht="27.75" x14ac:dyDescent="0.2">
      <c r="A8" s="28" t="s">
        <v>167</v>
      </c>
      <c r="B8" s="16">
        <v>0.7</v>
      </c>
      <c r="C8" s="14" t="s">
        <v>168</v>
      </c>
      <c r="E8" s="9" t="s">
        <v>169</v>
      </c>
      <c r="F8" s="10">
        <f>Simulador!B18</f>
        <v>2196.0162142857143</v>
      </c>
      <c r="G8" s="10">
        <f>B27</f>
        <v>3280.0189166666664</v>
      </c>
      <c r="H8" s="10">
        <f t="shared" si="0"/>
        <v>1084.0027023809521</v>
      </c>
    </row>
    <row r="9" spans="1:8" x14ac:dyDescent="0.2">
      <c r="A9" s="28" t="s">
        <v>170</v>
      </c>
      <c r="B9" s="16">
        <v>0.214</v>
      </c>
      <c r="C9" s="14" t="s">
        <v>171</v>
      </c>
      <c r="E9" s="9" t="s">
        <v>47</v>
      </c>
      <c r="F9" s="5">
        <f>Simulador!B19</f>
        <v>0.30442925339366517</v>
      </c>
      <c r="G9" s="5">
        <f>B28</f>
        <v>0.34399621666666669</v>
      </c>
      <c r="H9" s="5">
        <f t="shared" si="0"/>
        <v>3.9566963273001521E-2</v>
      </c>
    </row>
    <row r="10" spans="1:8" x14ac:dyDescent="0.2">
      <c r="A10" s="28" t="s">
        <v>172</v>
      </c>
      <c r="B10" s="16">
        <v>0.25</v>
      </c>
      <c r="C10" s="14" t="s">
        <v>173</v>
      </c>
      <c r="E10" s="26"/>
      <c r="F10" s="26"/>
      <c r="G10" s="26"/>
      <c r="H10" s="26"/>
    </row>
    <row r="11" spans="1:8" x14ac:dyDescent="0.2">
      <c r="A11" s="28" t="s">
        <v>174</v>
      </c>
      <c r="B11" s="16">
        <v>0.23</v>
      </c>
      <c r="C11" s="14" t="s">
        <v>175</v>
      </c>
      <c r="E11" s="26"/>
      <c r="F11" s="26"/>
      <c r="G11" s="26"/>
      <c r="H11" s="26"/>
    </row>
    <row r="12" spans="1:8" x14ac:dyDescent="0.2">
      <c r="A12" s="28" t="s">
        <v>176</v>
      </c>
      <c r="B12" s="14" t="s">
        <v>13</v>
      </c>
      <c r="C12" s="14" t="s">
        <v>177</v>
      </c>
      <c r="E12" s="26"/>
      <c r="F12" s="26"/>
      <c r="G12" s="26"/>
      <c r="H12" s="26"/>
    </row>
    <row r="13" spans="1:8" ht="27.75" x14ac:dyDescent="0.2">
      <c r="A13" s="28" t="s">
        <v>178</v>
      </c>
      <c r="B13" s="14" t="s">
        <v>13</v>
      </c>
      <c r="C13" s="14" t="s">
        <v>179</v>
      </c>
      <c r="E13" s="26"/>
      <c r="F13" s="26"/>
      <c r="G13" s="26"/>
      <c r="H13" s="26"/>
    </row>
    <row r="14" spans="1:8" x14ac:dyDescent="0.2">
      <c r="A14" s="28" t="s">
        <v>180</v>
      </c>
      <c r="B14" s="14" t="s">
        <v>13</v>
      </c>
      <c r="C14" s="14" t="s">
        <v>181</v>
      </c>
      <c r="E14" s="26"/>
      <c r="F14" s="26"/>
      <c r="G14" s="26"/>
      <c r="H14" s="26"/>
    </row>
    <row r="15" spans="1:8" ht="27.75" x14ac:dyDescent="0.2">
      <c r="A15" s="28" t="s">
        <v>182</v>
      </c>
      <c r="B15" s="29">
        <v>0</v>
      </c>
      <c r="C15" s="14" t="s">
        <v>183</v>
      </c>
      <c r="E15" s="26"/>
      <c r="F15" s="26"/>
      <c r="G15" s="26"/>
      <c r="H15" s="26"/>
    </row>
    <row r="16" spans="1:8" x14ac:dyDescent="0.2">
      <c r="A16" s="25"/>
      <c r="B16" s="25"/>
      <c r="C16" s="25"/>
      <c r="E16" s="26"/>
      <c r="F16" s="26"/>
      <c r="G16" s="26"/>
      <c r="H16" s="26"/>
    </row>
    <row r="17" spans="1:8" x14ac:dyDescent="0.2">
      <c r="A17" s="27" t="s">
        <v>184</v>
      </c>
      <c r="B17" s="27" t="s">
        <v>2</v>
      </c>
      <c r="C17" s="27" t="s">
        <v>28</v>
      </c>
      <c r="E17" s="26"/>
      <c r="F17" s="26"/>
      <c r="G17" s="26"/>
      <c r="H17" s="26"/>
    </row>
    <row r="18" spans="1:8" x14ac:dyDescent="0.2">
      <c r="A18" s="28" t="s">
        <v>185</v>
      </c>
      <c r="B18" s="29">
        <f>IF(B12="Sim",B4*B5*B6/(1+B11),B4*B5*B6)</f>
        <v>60000</v>
      </c>
      <c r="C18" s="14" t="s">
        <v>186</v>
      </c>
      <c r="E18" s="26"/>
      <c r="F18" s="26"/>
      <c r="G18" s="26"/>
      <c r="H18" s="26"/>
    </row>
    <row r="19" spans="1:8" ht="27.75" x14ac:dyDescent="0.2">
      <c r="A19" s="28" t="s">
        <v>187</v>
      </c>
      <c r="B19" s="29">
        <f>IF(B13="Sim",B18,IF(B12="Sim",B4*B5*B6,B18*(1+B11)))</f>
        <v>73800</v>
      </c>
      <c r="C19" s="14" t="s">
        <v>188</v>
      </c>
      <c r="E19" s="26"/>
      <c r="F19" s="26"/>
      <c r="G19" s="26"/>
      <c r="H19" s="26"/>
    </row>
    <row r="20" spans="1:8" x14ac:dyDescent="0.2">
      <c r="A20" s="28" t="s">
        <v>189</v>
      </c>
      <c r="B20" s="29">
        <f>B18*B8</f>
        <v>42000</v>
      </c>
      <c r="C20" s="14" t="s">
        <v>190</v>
      </c>
      <c r="E20" s="26"/>
      <c r="F20" s="26"/>
      <c r="G20" s="26"/>
      <c r="H20" s="26"/>
    </row>
    <row r="21" spans="1:8" x14ac:dyDescent="0.2">
      <c r="A21" s="28" t="s">
        <v>191</v>
      </c>
      <c r="B21" s="29">
        <f>IF(B14="Sim",0,B20*B9)</f>
        <v>8988</v>
      </c>
      <c r="C21" s="14" t="s">
        <v>192</v>
      </c>
      <c r="E21" s="26"/>
      <c r="F21" s="26"/>
      <c r="G21" s="26"/>
      <c r="H21" s="26"/>
    </row>
    <row r="22" spans="1:8" x14ac:dyDescent="0.2">
      <c r="A22" s="28" t="s">
        <v>193</v>
      </c>
      <c r="B22" s="29">
        <f>MAX(0,B18*B7-B15)</f>
        <v>45000</v>
      </c>
      <c r="C22" s="14" t="s">
        <v>194</v>
      </c>
      <c r="E22" s="26"/>
      <c r="F22" s="26"/>
      <c r="G22" s="26"/>
      <c r="H22" s="26"/>
    </row>
    <row r="23" spans="1:8" ht="27.75" x14ac:dyDescent="0.2">
      <c r="A23" s="28" t="s">
        <v>164</v>
      </c>
      <c r="B23" s="29">
        <f>MAX(0,MIN(B22,Escalões_IRS_2026!C4)-Escalões_IRS_2026!B4)*Escalões_IRS_2026!D4+MAX(0,MIN(B22,Escalões_IRS_2026!C5)-Escalões_IRS_2026!B5)*Escalões_IRS_2026!D5+MAX(0,MIN(B22,Escalões_IRS_2026!C6)-Escalões_IRS_2026!B6)*Escalões_IRS_2026!D6+MAX(0,MIN(B22,Escalões_IRS_2026!C7)-Escalões_IRS_2026!B7)*Escalões_IRS_2026!D7+MAX(0,MIN(B22,Escalões_IRS_2026!C8)-Escalões_IRS_2026!B8)*Escalões_IRS_2026!D8+MAX(0,MIN(B22,Escalões_IRS_2026!C9)-Escalões_IRS_2026!B9)*Escalões_IRS_2026!D9+MAX(0,MIN(B22,Escalões_IRS_2026!C10)-Escalões_IRS_2026!B10)*Escalões_IRS_2026!D10+MAX(0,MIN(B22,Escalões_IRS_2026!C11)-Escalões_IRS_2026!B11)*Escalões_IRS_2026!D11+MAX(0,MIN(B22,Escalões_IRS_2026!C12)-Escalões_IRS_2026!B12)*Escalões_IRS_2026!D12</f>
        <v>11651.773000000001</v>
      </c>
      <c r="C23" s="14" t="s">
        <v>195</v>
      </c>
      <c r="E23" s="26"/>
      <c r="F23" s="26"/>
      <c r="G23" s="26"/>
      <c r="H23" s="26"/>
    </row>
    <row r="24" spans="1:8" x14ac:dyDescent="0.2">
      <c r="A24" s="28" t="s">
        <v>196</v>
      </c>
      <c r="B24" s="29">
        <f>B18*B10</f>
        <v>15000</v>
      </c>
      <c r="C24" s="14" t="s">
        <v>197</v>
      </c>
      <c r="E24" s="26"/>
      <c r="F24" s="26"/>
      <c r="G24" s="26"/>
      <c r="H24" s="26"/>
    </row>
    <row r="25" spans="1:8" x14ac:dyDescent="0.2">
      <c r="A25" s="28" t="s">
        <v>198</v>
      </c>
      <c r="B25" s="29">
        <f>B23-B24</f>
        <v>-3348.226999999999</v>
      </c>
      <c r="C25" s="14" t="s">
        <v>199</v>
      </c>
      <c r="E25" s="26"/>
      <c r="F25" s="26"/>
      <c r="G25" s="26"/>
      <c r="H25" s="26"/>
    </row>
    <row r="26" spans="1:8" x14ac:dyDescent="0.2">
      <c r="A26" s="28" t="s">
        <v>200</v>
      </c>
      <c r="B26" s="29">
        <f>B18-B21-B23</f>
        <v>39360.226999999999</v>
      </c>
      <c r="C26" s="14" t="s">
        <v>201</v>
      </c>
      <c r="E26" s="26"/>
      <c r="F26" s="26"/>
      <c r="G26" s="26"/>
      <c r="H26" s="26"/>
    </row>
    <row r="27" spans="1:8" x14ac:dyDescent="0.2">
      <c r="A27" s="28" t="s">
        <v>202</v>
      </c>
      <c r="B27" s="29">
        <f>IFERROR(B26/B6,0)</f>
        <v>3280.0189166666664</v>
      </c>
      <c r="C27" s="14" t="s">
        <v>203</v>
      </c>
      <c r="E27" s="26"/>
      <c r="F27" s="26"/>
      <c r="G27" s="26"/>
      <c r="H27" s="26"/>
    </row>
    <row r="28" spans="1:8" x14ac:dyDescent="0.2">
      <c r="A28" s="28" t="s">
        <v>204</v>
      </c>
      <c r="B28" s="16">
        <f>IFERROR((B21+B23)/B18,0)</f>
        <v>0.34399621666666669</v>
      </c>
      <c r="C28" s="14" t="s">
        <v>205</v>
      </c>
      <c r="E28" s="26"/>
      <c r="F28" s="26"/>
      <c r="G28" s="26"/>
      <c r="H28" s="26"/>
    </row>
    <row r="29" spans="1:8" x14ac:dyDescent="0.2">
      <c r="E29" s="26"/>
      <c r="F29" s="26"/>
      <c r="G29" s="26"/>
      <c r="H29" s="26"/>
    </row>
    <row r="30" spans="1:8" x14ac:dyDescent="0.2">
      <c r="E30" s="26"/>
      <c r="F30" s="26"/>
      <c r="G30" s="26"/>
      <c r="H30" s="26"/>
    </row>
    <row r="31" spans="1:8" x14ac:dyDescent="0.2">
      <c r="A31" s="27" t="s">
        <v>206</v>
      </c>
      <c r="B31" s="27" t="s">
        <v>207</v>
      </c>
      <c r="C31" s="27" t="s">
        <v>208</v>
      </c>
      <c r="D31" s="27" t="s">
        <v>209</v>
      </c>
      <c r="E31" s="27" t="s">
        <v>35</v>
      </c>
      <c r="F31" s="27" t="s">
        <v>210</v>
      </c>
      <c r="G31" s="27" t="s">
        <v>41</v>
      </c>
      <c r="H31" s="27" t="s">
        <v>211</v>
      </c>
    </row>
    <row r="32" spans="1:8" x14ac:dyDescent="0.2">
      <c r="A32" s="31">
        <v>200</v>
      </c>
      <c r="B32" s="30">
        <f t="shared" ref="B32:B39" si="1">$B$5</f>
        <v>20</v>
      </c>
      <c r="C32" s="30">
        <f t="shared" ref="C32:C39" si="2">$B$6</f>
        <v>12</v>
      </c>
      <c r="D32" s="29">
        <f t="shared" ref="D32:D39" si="3">IF($B$12="Sim",A32*B32*C32/(1+$B$11),A32*B32*C32)</f>
        <v>48000</v>
      </c>
      <c r="E32" s="29">
        <f t="shared" ref="E32:E39" si="4">IF($B$14="Sim",0,(IF($B$12="Sim",A32*B32*C32/(1+$B$11),A32*B32*C32))*$B$8*$B$9)</f>
        <v>7190.4</v>
      </c>
      <c r="F32" s="29">
        <f>MAX(0,MIN((MAX(0,(IF($B$12="Sim",A32*B32*C32/(1+$B$11),A32*B32*C32))*$B$7-$B$15)),Escalões_IRS_2026!C4)-Escalões_IRS_2026!B4)*Escalões_IRS_2026!D4+MAX(0,MIN((MAX(0,(IF($B$12="Sim",A32*B32*C32/(1+$B$11),A32*B32*C32))*$B$7-$B$15)),Escalões_IRS_2026!C5)-Escalões_IRS_2026!B5)*Escalões_IRS_2026!D5+MAX(0,MIN((MAX(0,(IF($B$12="Sim",A32*B32*C32/(1+$B$11),A32*B32*C32))*$B$7-$B$15)),Escalões_IRS_2026!C6)-Escalões_IRS_2026!B6)*Escalões_IRS_2026!D6+MAX(0,MIN((MAX(0,(IF($B$12="Sim",A32*B32*C32/(1+$B$11),A32*B32*C32))*$B$7-$B$15)),Escalões_IRS_2026!C7)-Escalões_IRS_2026!B7)*Escalões_IRS_2026!D7+MAX(0,MIN((MAX(0,(IF($B$12="Sim",A32*B32*C32/(1+$B$11),A32*B32*C32))*$B$7-$B$15)),Escalões_IRS_2026!C8)-Escalões_IRS_2026!B8)*Escalões_IRS_2026!D8+MAX(0,MIN((MAX(0,(IF($B$12="Sim",A32*B32*C32/(1+$B$11),A32*B32*C32))*$B$7-$B$15)),Escalões_IRS_2026!C9)-Escalões_IRS_2026!B9)*Escalões_IRS_2026!D9+MAX(0,MIN((MAX(0,(IF($B$12="Sim",A32*B32*C32/(1+$B$11),A32*B32*C32))*$B$7-$B$15)),Escalões_IRS_2026!C10)-Escalões_IRS_2026!B10)*Escalões_IRS_2026!D10+MAX(0,MIN((MAX(0,(IF($B$12="Sim",A32*B32*C32/(1+$B$11),A32*B32*C32))*$B$7-$B$15)),Escalões_IRS_2026!C11)-Escalões_IRS_2026!B11)*Escalões_IRS_2026!D11+MAX(0,MIN((MAX(0,(IF($B$12="Sim",A32*B32*C32/(1+$B$11),A32*B32*C32))*$B$7-$B$15)),Escalões_IRS_2026!C12)-Escalões_IRS_2026!B12)*Escalões_IRS_2026!D12</f>
        <v>8354.1530000000002</v>
      </c>
      <c r="G32" s="29">
        <f t="shared" ref="G32:G39" si="5">D32-E32-F32</f>
        <v>32455.447</v>
      </c>
      <c r="H32" s="29">
        <f>G32-Simulador!B17</f>
        <v>1711.2200000000012</v>
      </c>
    </row>
    <row r="33" spans="1:8" x14ac:dyDescent="0.2">
      <c r="A33" s="31">
        <v>300</v>
      </c>
      <c r="B33" s="30">
        <v>18</v>
      </c>
      <c r="C33" s="30">
        <f t="shared" si="2"/>
        <v>12</v>
      </c>
      <c r="D33" s="29">
        <f t="shared" si="3"/>
        <v>64800</v>
      </c>
      <c r="E33" s="29">
        <f t="shared" si="4"/>
        <v>9707.0399999999991</v>
      </c>
      <c r="F33" s="29">
        <f>MAX(0,MIN((MAX(0,(IF($B$12="Sim",A33*B33*C33/(1+$B$11),A33*B33*C33))*$B$7-$B$15)),Escalões_IRS_2026!C4)-Escalões_IRS_2026!B4)*Escalões_IRS_2026!D4+MAX(0,MIN((MAX(0,(IF($B$12="Sim",A33*B33*C33/(1+$B$11),A33*B33*C33))*$B$7-$B$15)),Escalões_IRS_2026!C5)-Escalões_IRS_2026!B5)*Escalões_IRS_2026!D5+MAX(0,MIN((MAX(0,(IF($B$12="Sim",A33*B33*C33/(1+$B$11),A33*B33*C33))*$B$7-$B$15)),Escalões_IRS_2026!C6)-Escalões_IRS_2026!B6)*Escalões_IRS_2026!D6+MAX(0,MIN((MAX(0,(IF($B$12="Sim",A33*B33*C33/(1+$B$11),A33*B33*C33))*$B$7-$B$15)),Escalões_IRS_2026!C7)-Escalões_IRS_2026!B7)*Escalões_IRS_2026!D7+MAX(0,MIN((MAX(0,(IF($B$12="Sim",A33*B33*C33/(1+$B$11),A33*B33*C33))*$B$7-$B$15)),Escalões_IRS_2026!C8)-Escalões_IRS_2026!B8)*Escalões_IRS_2026!D8+MAX(0,MIN((MAX(0,(IF($B$12="Sim",A33*B33*C33/(1+$B$11),A33*B33*C33))*$B$7-$B$15)),Escalões_IRS_2026!C9)-Escalões_IRS_2026!B9)*Escalões_IRS_2026!D9+MAX(0,MIN((MAX(0,(IF($B$12="Sim",A33*B33*C33/(1+$B$11),A33*B33*C33))*$B$7-$B$15)),Escalões_IRS_2026!C10)-Escalões_IRS_2026!B10)*Escalões_IRS_2026!D10+MAX(0,MIN((MAX(0,(IF($B$12="Sim",A33*B33*C33/(1+$B$11),A33*B33*C33))*$B$7-$B$15)),Escalões_IRS_2026!C11)-Escalões_IRS_2026!B11)*Escalões_IRS_2026!D11+MAX(0,MIN((MAX(0,(IF($B$12="Sim",A33*B33*C33/(1+$B$11),A33*B33*C33))*$B$7-$B$15)),Escalões_IRS_2026!C12)-Escalões_IRS_2026!B12)*Escalões_IRS_2026!D12</f>
        <v>13233.883000000002</v>
      </c>
      <c r="G33" s="29">
        <f t="shared" si="5"/>
        <v>41859.076999999997</v>
      </c>
      <c r="H33" s="29">
        <f>G33-Simulador!B17</f>
        <v>11114.849999999999</v>
      </c>
    </row>
    <row r="34" spans="1:8" x14ac:dyDescent="0.2">
      <c r="A34" s="31">
        <v>260</v>
      </c>
      <c r="B34" s="30">
        <v>21</v>
      </c>
      <c r="C34" s="30">
        <f t="shared" si="2"/>
        <v>12</v>
      </c>
      <c r="D34" s="29">
        <f t="shared" si="3"/>
        <v>65520</v>
      </c>
      <c r="E34" s="29">
        <f t="shared" si="4"/>
        <v>9814.8960000000006</v>
      </c>
      <c r="F34" s="29">
        <f>MAX(0,MIN((MAX(0,(IF($B$12="Sim",A34*B34*C34/(1+$B$11),A34*B34*C34))*$B$7-$B$15)),Escalões_IRS_2026!C4)-Escalões_IRS_2026!B4)*Escalões_IRS_2026!D4+MAX(0,MIN((MAX(0,(IF($B$12="Sim",A34*B34*C34/(1+$B$11),A34*B34*C34))*$B$7-$B$15)),Escalões_IRS_2026!C5)-Escalões_IRS_2026!B5)*Escalões_IRS_2026!D5+MAX(0,MIN((MAX(0,(IF($B$12="Sim",A34*B34*C34/(1+$B$11),A34*B34*C34))*$B$7-$B$15)),Escalões_IRS_2026!C6)-Escalões_IRS_2026!B6)*Escalões_IRS_2026!D6+MAX(0,MIN((MAX(0,(IF($B$12="Sim",A34*B34*C34/(1+$B$11),A34*B34*C34))*$B$7-$B$15)),Escalões_IRS_2026!C7)-Escalões_IRS_2026!B7)*Escalões_IRS_2026!D7+MAX(0,MIN((MAX(0,(IF($B$12="Sim",A34*B34*C34/(1+$B$11),A34*B34*C34))*$B$7-$B$15)),Escalões_IRS_2026!C8)-Escalões_IRS_2026!B8)*Escalões_IRS_2026!D8+MAX(0,MIN((MAX(0,(IF($B$12="Sim",A34*B34*C34/(1+$B$11),A34*B34*C34))*$B$7-$B$15)),Escalões_IRS_2026!C9)-Escalões_IRS_2026!B9)*Escalões_IRS_2026!D9+MAX(0,MIN((MAX(0,(IF($B$12="Sim",A34*B34*C34/(1+$B$11),A34*B34*C34))*$B$7-$B$15)),Escalões_IRS_2026!C10)-Escalões_IRS_2026!B10)*Escalões_IRS_2026!D10+MAX(0,MIN((MAX(0,(IF($B$12="Sim",A34*B34*C34/(1+$B$11),A34*B34*C34))*$B$7-$B$15)),Escalões_IRS_2026!C11)-Escalões_IRS_2026!B11)*Escalões_IRS_2026!D11+MAX(0,MIN((MAX(0,(IF($B$12="Sim",A34*B34*C34/(1+$B$11),A34*B34*C34))*$B$7-$B$15)),Escalões_IRS_2026!C12)-Escalões_IRS_2026!B12)*Escalões_IRS_2026!D12</f>
        <v>13474.723000000002</v>
      </c>
      <c r="G34" s="29">
        <f t="shared" si="5"/>
        <v>42230.380999999994</v>
      </c>
      <c r="H34" s="29">
        <f>G34-Simulador!B17</f>
        <v>11486.153999999995</v>
      </c>
    </row>
    <row r="35" spans="1:8" x14ac:dyDescent="0.2">
      <c r="A35" s="31">
        <v>280</v>
      </c>
      <c r="B35" s="30">
        <f t="shared" si="1"/>
        <v>20</v>
      </c>
      <c r="C35" s="30">
        <f t="shared" si="2"/>
        <v>12</v>
      </c>
      <c r="D35" s="29">
        <f t="shared" si="3"/>
        <v>67200</v>
      </c>
      <c r="E35" s="29">
        <f t="shared" si="4"/>
        <v>10066.56</v>
      </c>
      <c r="F35" s="29">
        <f>MAX(0,MIN((MAX(0,(IF($B$12="Sim",A35*B35*C35/(1+$B$11),A35*B35*C35))*$B$7-$B$15)),Escalões_IRS_2026!C4)-Escalões_IRS_2026!B4)*Escalões_IRS_2026!D4+MAX(0,MIN((MAX(0,(IF($B$12="Sim",A35*B35*C35/(1+$B$11),A35*B35*C35))*$B$7-$B$15)),Escalões_IRS_2026!C5)-Escalões_IRS_2026!B5)*Escalões_IRS_2026!D5+MAX(0,MIN((MAX(0,(IF($B$12="Sim",A35*B35*C35/(1+$B$11),A35*B35*C35))*$B$7-$B$15)),Escalões_IRS_2026!C6)-Escalões_IRS_2026!B6)*Escalões_IRS_2026!D6+MAX(0,MIN((MAX(0,(IF($B$12="Sim",A35*B35*C35/(1+$B$11),A35*B35*C35))*$B$7-$B$15)),Escalões_IRS_2026!C7)-Escalões_IRS_2026!B7)*Escalões_IRS_2026!D7+MAX(0,MIN((MAX(0,(IF($B$12="Sim",A35*B35*C35/(1+$B$11),A35*B35*C35))*$B$7-$B$15)),Escalões_IRS_2026!C8)-Escalões_IRS_2026!B8)*Escalões_IRS_2026!D8+MAX(0,MIN((MAX(0,(IF($B$12="Sim",A35*B35*C35/(1+$B$11),A35*B35*C35))*$B$7-$B$15)),Escalões_IRS_2026!C9)-Escalões_IRS_2026!B9)*Escalões_IRS_2026!D9+MAX(0,MIN((MAX(0,(IF($B$12="Sim",A35*B35*C35/(1+$B$11),A35*B35*C35))*$B$7-$B$15)),Escalões_IRS_2026!C10)-Escalões_IRS_2026!B10)*Escalões_IRS_2026!D10+MAX(0,MIN((MAX(0,(IF($B$12="Sim",A35*B35*C35/(1+$B$11),A35*B35*C35))*$B$7-$B$15)),Escalões_IRS_2026!C11)-Escalões_IRS_2026!B11)*Escalões_IRS_2026!D11+MAX(0,MIN((MAX(0,(IF($B$12="Sim",A35*B35*C35/(1+$B$11),A35*B35*C35))*$B$7-$B$15)),Escalões_IRS_2026!C12)-Escalões_IRS_2026!B12)*Escalões_IRS_2026!D12</f>
        <v>14036.683000000001</v>
      </c>
      <c r="G35" s="29">
        <f t="shared" si="5"/>
        <v>43096.756999999998</v>
      </c>
      <c r="H35" s="29">
        <f>G35-Simulador!B17</f>
        <v>12352.529999999999</v>
      </c>
    </row>
    <row r="36" spans="1:8" x14ac:dyDescent="0.2">
      <c r="A36" s="31">
        <v>300</v>
      </c>
      <c r="B36" s="30">
        <f t="shared" si="1"/>
        <v>20</v>
      </c>
      <c r="C36" s="30">
        <f t="shared" si="2"/>
        <v>12</v>
      </c>
      <c r="D36" s="29">
        <f t="shared" si="3"/>
        <v>72000</v>
      </c>
      <c r="E36" s="29">
        <f t="shared" si="4"/>
        <v>10785.6</v>
      </c>
      <c r="F36" s="29">
        <f>MAX(0,MIN((MAX(0,(IF($B$12="Sim",A36*B36*C36/(1+$B$11),A36*B36*C36))*$B$7-$B$15)),Escalões_IRS_2026!C4)-Escalões_IRS_2026!B4)*Escalões_IRS_2026!D4+MAX(0,MIN((MAX(0,(IF($B$12="Sim",A36*B36*C36/(1+$B$11),A36*B36*C36))*$B$7-$B$15)),Escalões_IRS_2026!C5)-Escalões_IRS_2026!B5)*Escalões_IRS_2026!D5+MAX(0,MIN((MAX(0,(IF($B$12="Sim",A36*B36*C36/(1+$B$11),A36*B36*C36))*$B$7-$B$15)),Escalões_IRS_2026!C6)-Escalões_IRS_2026!B6)*Escalões_IRS_2026!D6+MAX(0,MIN((MAX(0,(IF($B$12="Sim",A36*B36*C36/(1+$B$11),A36*B36*C36))*$B$7-$B$15)),Escalões_IRS_2026!C7)-Escalões_IRS_2026!B7)*Escalões_IRS_2026!D7+MAX(0,MIN((MAX(0,(IF($B$12="Sim",A36*B36*C36/(1+$B$11),A36*B36*C36))*$B$7-$B$15)),Escalões_IRS_2026!C8)-Escalões_IRS_2026!B8)*Escalões_IRS_2026!D8+MAX(0,MIN((MAX(0,(IF($B$12="Sim",A36*B36*C36/(1+$B$11),A36*B36*C36))*$B$7-$B$15)),Escalões_IRS_2026!C9)-Escalões_IRS_2026!B9)*Escalões_IRS_2026!D9+MAX(0,MIN((MAX(0,(IF($B$12="Sim",A36*B36*C36/(1+$B$11),A36*B36*C36))*$B$7-$B$15)),Escalões_IRS_2026!C10)-Escalões_IRS_2026!B10)*Escalões_IRS_2026!D10+MAX(0,MIN((MAX(0,(IF($B$12="Sim",A36*B36*C36/(1+$B$11),A36*B36*C36))*$B$7-$B$15)),Escalões_IRS_2026!C11)-Escalões_IRS_2026!B11)*Escalões_IRS_2026!D11+MAX(0,MIN((MAX(0,(IF($B$12="Sim",A36*B36*C36/(1+$B$11),A36*B36*C36))*$B$7-$B$15)),Escalões_IRS_2026!C12)-Escalões_IRS_2026!B12)*Escalões_IRS_2026!D12</f>
        <v>15642.283000000001</v>
      </c>
      <c r="G36" s="29">
        <f t="shared" si="5"/>
        <v>45572.116999999998</v>
      </c>
      <c r="H36" s="29">
        <f>G36-Simulador!B17</f>
        <v>14827.89</v>
      </c>
    </row>
    <row r="37" spans="1:8" x14ac:dyDescent="0.2">
      <c r="A37" s="31">
        <v>294</v>
      </c>
      <c r="B37" s="30">
        <f t="shared" si="1"/>
        <v>20</v>
      </c>
      <c r="C37" s="30">
        <f t="shared" si="2"/>
        <v>12</v>
      </c>
      <c r="D37" s="29">
        <f t="shared" si="3"/>
        <v>70560</v>
      </c>
      <c r="E37" s="29">
        <f t="shared" si="4"/>
        <v>10569.887999999999</v>
      </c>
      <c r="F37" s="29">
        <f>MAX(0,MIN((MAX(0,(IF($B$12="Sim",A37*B37*C37/(1+$B$11),A37*B37*C37))*$B$7-$B$15)),Escalões_IRS_2026!C4)-Escalões_IRS_2026!B4)*Escalões_IRS_2026!D4+MAX(0,MIN((MAX(0,(IF($B$12="Sim",A37*B37*C37/(1+$B$11),A37*B37*C37))*$B$7-$B$15)),Escalões_IRS_2026!C5)-Escalões_IRS_2026!B5)*Escalões_IRS_2026!D5+MAX(0,MIN((MAX(0,(IF($B$12="Sim",A37*B37*C37/(1+$B$11),A37*B37*C37))*$B$7-$B$15)),Escalões_IRS_2026!C6)-Escalões_IRS_2026!B6)*Escalões_IRS_2026!D6+MAX(0,MIN((MAX(0,(IF($B$12="Sim",A37*B37*C37/(1+$B$11),A37*B37*C37))*$B$7-$B$15)),Escalões_IRS_2026!C7)-Escalões_IRS_2026!B7)*Escalões_IRS_2026!D7+MAX(0,MIN((MAX(0,(IF($B$12="Sim",A37*B37*C37/(1+$B$11),A37*B37*C37))*$B$7-$B$15)),Escalões_IRS_2026!C8)-Escalões_IRS_2026!B8)*Escalões_IRS_2026!D8+MAX(0,MIN((MAX(0,(IF($B$12="Sim",A37*B37*C37/(1+$B$11),A37*B37*C37))*$B$7-$B$15)),Escalões_IRS_2026!C9)-Escalões_IRS_2026!B9)*Escalões_IRS_2026!D9+MAX(0,MIN((MAX(0,(IF($B$12="Sim",A37*B37*C37/(1+$B$11),A37*B37*C37))*$B$7-$B$15)),Escalões_IRS_2026!C10)-Escalões_IRS_2026!B10)*Escalões_IRS_2026!D10+MAX(0,MIN((MAX(0,(IF($B$12="Sim",A37*B37*C37/(1+$B$11),A37*B37*C37))*$B$7-$B$15)),Escalões_IRS_2026!C11)-Escalões_IRS_2026!B11)*Escalões_IRS_2026!D11+MAX(0,MIN((MAX(0,(IF($B$12="Sim",A37*B37*C37/(1+$B$11),A37*B37*C37))*$B$7-$B$15)),Escalões_IRS_2026!C12)-Escalões_IRS_2026!B12)*Escalões_IRS_2026!D12</f>
        <v>15160.603000000001</v>
      </c>
      <c r="G37" s="29">
        <f t="shared" si="5"/>
        <v>44829.508999999998</v>
      </c>
      <c r="H37" s="29">
        <f>G37-Simulador!B17</f>
        <v>14085.281999999999</v>
      </c>
    </row>
    <row r="38" spans="1:8" x14ac:dyDescent="0.2">
      <c r="A38" s="31">
        <v>650</v>
      </c>
      <c r="B38" s="30">
        <f t="shared" si="1"/>
        <v>20</v>
      </c>
      <c r="C38" s="30">
        <f t="shared" si="2"/>
        <v>12</v>
      </c>
      <c r="D38" s="29">
        <f t="shared" si="3"/>
        <v>156000</v>
      </c>
      <c r="E38" s="29">
        <f t="shared" si="4"/>
        <v>23368.799999999999</v>
      </c>
      <c r="F38" s="29">
        <f>MAX(0,MIN((MAX(0,(IF($B$12="Sim",A38*B38*C38/(1+$B$11),A38*B38*C38))*$B$7-$B$15)),Escalões_IRS_2026!C4)-Escalões_IRS_2026!B4)*Escalões_IRS_2026!D4+MAX(0,MIN((MAX(0,(IF($B$12="Sim",A38*B38*C38/(1+$B$11),A38*B38*C38))*$B$7-$B$15)),Escalões_IRS_2026!C5)-Escalões_IRS_2026!B5)*Escalões_IRS_2026!D5+MAX(0,MIN((MAX(0,(IF($B$12="Sim",A38*B38*C38/(1+$B$11),A38*B38*C38))*$B$7-$B$15)),Escalões_IRS_2026!C6)-Escalões_IRS_2026!B6)*Escalões_IRS_2026!D6+MAX(0,MIN((MAX(0,(IF($B$12="Sim",A38*B38*C38/(1+$B$11),A38*B38*C38))*$B$7-$B$15)),Escalões_IRS_2026!C7)-Escalões_IRS_2026!B7)*Escalões_IRS_2026!D7+MAX(0,MIN((MAX(0,(IF($B$12="Sim",A38*B38*C38/(1+$B$11),A38*B38*C38))*$B$7-$B$15)),Escalões_IRS_2026!C8)-Escalões_IRS_2026!B8)*Escalões_IRS_2026!D8+MAX(0,MIN((MAX(0,(IF($B$12="Sim",A38*B38*C38/(1+$B$11),A38*B38*C38))*$B$7-$B$15)),Escalões_IRS_2026!C9)-Escalões_IRS_2026!B9)*Escalões_IRS_2026!D9+MAX(0,MIN((MAX(0,(IF($B$12="Sim",A38*B38*C38/(1+$B$11),A38*B38*C38))*$B$7-$B$15)),Escalões_IRS_2026!C10)-Escalões_IRS_2026!B10)*Escalões_IRS_2026!D10+MAX(0,MIN((MAX(0,(IF($B$12="Sim",A38*B38*C38/(1+$B$11),A38*B38*C38))*$B$7-$B$15)),Escalões_IRS_2026!C11)-Escalões_IRS_2026!B11)*Escalões_IRS_2026!D11+MAX(0,MIN((MAX(0,(IF($B$12="Sim",A38*B38*C38/(1+$B$11),A38*B38*C38))*$B$7-$B$15)),Escalões_IRS_2026!C12)-Escalões_IRS_2026!B12)*Escalões_IRS_2026!D12</f>
        <v>44772.726999999999</v>
      </c>
      <c r="G38" s="29">
        <f t="shared" si="5"/>
        <v>87858.473000000013</v>
      </c>
      <c r="H38" s="29">
        <f>G38-Simulador!B17</f>
        <v>57114.246000000014</v>
      </c>
    </row>
    <row r="39" spans="1:8" x14ac:dyDescent="0.2">
      <c r="A39" s="31">
        <v>450</v>
      </c>
      <c r="B39" s="30">
        <f t="shared" si="1"/>
        <v>20</v>
      </c>
      <c r="C39" s="30">
        <f t="shared" si="2"/>
        <v>12</v>
      </c>
      <c r="D39" s="29">
        <f t="shared" si="3"/>
        <v>108000</v>
      </c>
      <c r="E39" s="29">
        <f t="shared" si="4"/>
        <v>16178.4</v>
      </c>
      <c r="F39" s="29">
        <f>MAX(0,MIN((MAX(0,(IF($B$12="Sim",A39*B39*C39/(1+$B$11),A39*B39*C39))*$B$7-$B$15)),Escalões_IRS_2026!C4)-Escalões_IRS_2026!B4)*Escalões_IRS_2026!D4+MAX(0,MIN((MAX(0,(IF($B$12="Sim",A39*B39*C39/(1+$B$11),A39*B39*C39))*$B$7-$B$15)),Escalões_IRS_2026!C5)-Escalões_IRS_2026!B5)*Escalões_IRS_2026!D5+MAX(0,MIN((MAX(0,(IF($B$12="Sim",A39*B39*C39/(1+$B$11),A39*B39*C39))*$B$7-$B$15)),Escalões_IRS_2026!C6)-Escalões_IRS_2026!B6)*Escalões_IRS_2026!D6+MAX(0,MIN((MAX(0,(IF($B$12="Sim",A39*B39*C39/(1+$B$11),A39*B39*C39))*$B$7-$B$15)),Escalões_IRS_2026!C7)-Escalões_IRS_2026!B7)*Escalões_IRS_2026!D7+MAX(0,MIN((MAX(0,(IF($B$12="Sim",A39*B39*C39/(1+$B$11),A39*B39*C39))*$B$7-$B$15)),Escalões_IRS_2026!C8)-Escalões_IRS_2026!B8)*Escalões_IRS_2026!D8+MAX(0,MIN((MAX(0,(IF($B$12="Sim",A39*B39*C39/(1+$B$11),A39*B39*C39))*$B$7-$B$15)),Escalões_IRS_2026!C9)-Escalões_IRS_2026!B9)*Escalões_IRS_2026!D9+MAX(0,MIN((MAX(0,(IF($B$12="Sim",A39*B39*C39/(1+$B$11),A39*B39*C39))*$B$7-$B$15)),Escalões_IRS_2026!C10)-Escalões_IRS_2026!B10)*Escalões_IRS_2026!D10+MAX(0,MIN((MAX(0,(IF($B$12="Sim",A39*B39*C39/(1+$B$11),A39*B39*C39))*$B$7-$B$15)),Escalões_IRS_2026!C11)-Escalões_IRS_2026!B11)*Escalões_IRS_2026!D11+MAX(0,MIN((MAX(0,(IF($B$12="Sim",A39*B39*C39/(1+$B$11),A39*B39*C39))*$B$7-$B$15)),Escalões_IRS_2026!C12)-Escalões_IRS_2026!B12)*Escalões_IRS_2026!D12</f>
        <v>27684.283000000003</v>
      </c>
      <c r="G39" s="29">
        <f t="shared" si="5"/>
        <v>64137.317000000003</v>
      </c>
      <c r="H39" s="29">
        <f>G39-Simulador!B17</f>
        <v>33393.090000000004</v>
      </c>
    </row>
    <row r="42" spans="1:8" x14ac:dyDescent="0.2">
      <c r="A42" s="40" t="s">
        <v>212</v>
      </c>
      <c r="B42" s="40"/>
      <c r="C42" s="40"/>
      <c r="D42" s="40"/>
      <c r="E42" s="40"/>
      <c r="F42" s="40"/>
      <c r="G42" s="40"/>
      <c r="H42" s="40"/>
    </row>
  </sheetData>
  <mergeCells count="2">
    <mergeCell ref="A1:H1"/>
    <mergeCell ref="A42:H42"/>
  </mergeCells>
  <conditionalFormatting sqref="H4:H9">
    <cfRule type="expression" dxfId="3" priority="1">
      <formula>H4&lt;0</formula>
    </cfRule>
    <cfRule type="expression" dxfId="2" priority="2">
      <formula>H4&gt;0</formula>
    </cfRule>
  </conditionalFormatting>
  <conditionalFormatting sqref="H32:H39">
    <cfRule type="expression" dxfId="1" priority="3">
      <formula>H32&lt;0</formula>
    </cfRule>
    <cfRule type="expression" dxfId="0" priority="4">
      <formula>H32&gt;0</formula>
    </cfRule>
  </conditionalFormatting>
  <dataValidations count="1">
    <dataValidation type="list" sqref="B12:B14" xr:uid="{00000000-0002-0000-0600-000000000000}">
      <formula1>"Sim,Não"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2</DocSecurity>
  <ScaleCrop>false</ScaleCrop>
  <HeadingPairs>
    <vt:vector size="2" baseType="variant">
      <vt:variant>
        <vt:lpstr>Folhas de Cálculo</vt:lpstr>
      </vt:variant>
      <vt:variant>
        <vt:i4>7</vt:i4>
      </vt:variant>
    </vt:vector>
  </HeadingPairs>
  <TitlesOfParts>
    <vt:vector size="7" baseType="lpstr">
      <vt:lpstr>Entradas</vt:lpstr>
      <vt:lpstr>Simulador</vt:lpstr>
      <vt:lpstr>Escalões_IRS_2026</vt:lpstr>
      <vt:lpstr>Parâmetros</vt:lpstr>
      <vt:lpstr>Comparador Contrato</vt:lpstr>
      <vt:lpstr>Fontes_e_Notas</vt:lpstr>
      <vt:lpstr>Freelancer_vs_Contrato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Manso</dc:creator>
  <cp:lastModifiedBy>Felipe Manso</cp:lastModifiedBy>
  <dcterms:created xsi:type="dcterms:W3CDTF">2026-06-17T12:21:33Z</dcterms:created>
  <dcterms:modified xsi:type="dcterms:W3CDTF">2026-06-17T12:42:42Z</dcterms:modified>
</cp:coreProperties>
</file>